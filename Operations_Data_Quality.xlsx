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57db77e694c206/Desktop/Excel_project/"/>
    </mc:Choice>
  </mc:AlternateContent>
  <xr:revisionPtr revIDLastSave="42" documentId="8_{2044E3E3-0145-4CED-A8EB-372D571C25FF}" xr6:coauthVersionLast="47" xr6:coauthVersionMax="47" xr10:uidLastSave="{8688247B-CBBE-4ECB-B4D8-90CDAF59C812}"/>
  <bookViews>
    <workbookView xWindow="-108" yWindow="-108" windowWidth="23256" windowHeight="12456" tabRatio="911" firstSheet="2" activeTab="6" xr2:uid="{00000000-000D-0000-FFFF-FFFF00000000}"/>
  </bookViews>
  <sheets>
    <sheet name="Missing Information" sheetId="9" r:id="rId1"/>
    <sheet name="Data" sheetId="1" r:id="rId2"/>
    <sheet name="Data Quality Status" sheetId="6" r:id="rId3"/>
    <sheet name="Pending Work by Priority" sheetId="7" r:id="rId4"/>
    <sheet name="Process Volume &amp; Processing Tim" sheetId="5" r:id="rId5"/>
    <sheet name="Operational Status Overview" sheetId="4" r:id="rId6"/>
    <sheet name="Dashboard" sheetId="2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C4" i="2"/>
  <c r="A4" i="2"/>
  <c r="B4" i="2"/>
</calcChain>
</file>

<file path=xl/sharedStrings.xml><?xml version="1.0" encoding="utf-8"?>
<sst xmlns="http://schemas.openxmlformats.org/spreadsheetml/2006/main" count="1657" uniqueCount="267">
  <si>
    <t>Record_ID</t>
  </si>
  <si>
    <t>Customer</t>
  </si>
  <si>
    <t>Process_Type</t>
  </si>
  <si>
    <t>Received_Date</t>
  </si>
  <si>
    <t>Status</t>
  </si>
  <si>
    <t>Missing_Info</t>
  </si>
  <si>
    <t>Processing_Days</t>
  </si>
  <si>
    <t>Accuracy_Check</t>
  </si>
  <si>
    <t>Priority</t>
  </si>
  <si>
    <t>Assigned_Team</t>
  </si>
  <si>
    <t>OP001</t>
  </si>
  <si>
    <t>OP002</t>
  </si>
  <si>
    <t>OP003</t>
  </si>
  <si>
    <t>OP004</t>
  </si>
  <si>
    <t>OP005</t>
  </si>
  <si>
    <t>OP006</t>
  </si>
  <si>
    <t>OP007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</si>
  <si>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</si>
  <si>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</si>
  <si>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</si>
  <si>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</si>
  <si>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</si>
  <si>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</si>
  <si>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</si>
  <si>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</si>
  <si>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</si>
  <si>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OP017</t>
  </si>
  <si>
    <t>OP018</t>
  </si>
  <si>
    <t>OP019</t>
  </si>
  <si>
    <t>OP020</t>
  </si>
  <si>
    <t>OP021</t>
  </si>
  <si>
    <t>OP022</t>
  </si>
  <si>
    <t>OP023</t>
  </si>
  <si>
    <t>OP024</t>
  </si>
  <si>
    <t>OP025</t>
  </si>
  <si>
    <t>OP026</t>
  </si>
  <si>
    <t>OP027</t>
  </si>
  <si>
    <t>OP028</t>
  </si>
  <si>
    <t>OP029</t>
  </si>
  <si>
    <t>OP030</t>
  </si>
  <si>
    <t>OP031</t>
  </si>
  <si>
    <t>OP032</t>
  </si>
  <si>
    <t>OP033</t>
  </si>
  <si>
    <t>OP034</t>
  </si>
  <si>
    <t>OP035</t>
  </si>
  <si>
    <t>OP036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</si>
  <si>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</si>
  <si>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</si>
  <si>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</si>
  <si>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</si>
  <si>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</si>
  <si>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</si>
  <si>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</si>
  <si>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</si>
  <si>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</si>
  <si>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</si>
  <si>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</si>
  <si>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</si>
  <si>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</si>
  <si>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</si>
  <si>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</si>
  <si>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</si>
  <si>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</si>
  <si>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</si>
  <si>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</si>
  <si>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</si>
  <si>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</si>
  <si>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</si>
  <si>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</si>
  <si>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</si>
  <si>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</si>
  <si>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</si>
  <si>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</si>
  <si>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</si>
  <si>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</si>
  <si>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</si>
  <si>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</si>
  <si>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</si>
  <si>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</si>
  <si>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</si>
  <si>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</si>
  <si>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</si>
  <si>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</si>
  <si>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</si>
  <si>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</si>
  <si>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</si>
  <si>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</si>
  <si>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</si>
  <si>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</si>
  <si>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</si>
  <si>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OP081</t>
  </si>
  <si>
    <t>OP082</t>
  </si>
  <si>
    <t>OP083</t>
  </si>
  <si>
    <t>OP084</t>
  </si>
  <si>
    <t>OP085</t>
  </si>
  <si>
    <t>OP086</t>
  </si>
  <si>
    <t>OP087</t>
  </si>
  <si>
    <t>OP088</t>
  </si>
  <si>
    <t>OP089</t>
  </si>
  <si>
    <t>OP090</t>
  </si>
  <si>
    <t>OP091</t>
  </si>
  <si>
    <t>OP092</t>
  </si>
  <si>
    <t>OP093</t>
  </si>
  <si>
    <t>OP094</t>
  </si>
  <si>
    <t>OP095</t>
  </si>
  <si>
    <t>OP096</t>
  </si>
  <si>
    <t>OP097</t>
  </si>
  <si>
    <t>OP098</t>
  </si>
  <si>
    <t>OP099</t>
  </si>
  <si>
    <t>OP100</t>
  </si>
  <si>
    <t>OP101</t>
  </si>
  <si>
    <t>OP102</t>
  </si>
  <si>
    <t>OP103</t>
  </si>
  <si>
    <t>OP104</t>
  </si>
  <si>
    <t>OP105</t>
  </si>
  <si>
    <t>OP106</t>
  </si>
  <si>
    <t>OP107</t>
  </si>
  <si>
    <t>OP108</t>
  </si>
  <si>
    <t>OP109</t>
  </si>
  <si>
    <t>OP110</t>
  </si>
  <si>
    <t>OP111</t>
  </si>
  <si>
    <t>OP112</t>
  </si>
  <si>
    <t>OP113</t>
  </si>
  <si>
    <t>OP114</t>
  </si>
  <si>
    <t>OP115</t>
  </si>
  <si>
    <t>OP116</t>
  </si>
  <si>
    <t>OP117</t>
  </si>
  <si>
    <t>OP118</t>
  </si>
  <si>
    <t>OP119</t>
  </si>
  <si>
    <t>OP120</t>
  </si>
  <si>
    <t>OP121</t>
  </si>
  <si>
    <t>OP122</t>
  </si>
  <si>
    <t>OP123</t>
  </si>
  <si>
    <t>OP124</t>
  </si>
  <si>
    <t>OP125</t>
  </si>
  <si>
    <t>OP126</t>
  </si>
  <si>
    <t>OP127</t>
  </si>
  <si>
    <t>OP128</t>
  </si>
  <si>
    <t>OP129</t>
  </si>
  <si>
    <t>OP130</t>
  </si>
  <si>
    <t>OP131</t>
  </si>
  <si>
    <t>OP132</t>
  </si>
  <si>
    <t>OP133</t>
  </si>
  <si>
    <t>OP134</t>
  </si>
  <si>
    <t>OP135</t>
  </si>
  <si>
    <t>OP136</t>
  </si>
  <si>
    <t>OP137</t>
  </si>
  <si>
    <t>OP138</t>
  </si>
  <si>
    <t>OP139</t>
  </si>
  <si>
    <t>OP140</t>
  </si>
  <si>
    <t>OP141</t>
  </si>
  <si>
    <t>OP142</t>
  </si>
  <si>
    <t>OP143</t>
  </si>
  <si>
    <t>OP144</t>
  </si>
  <si>
    <t>OP145</t>
  </si>
  <si>
    <t>OP146</t>
  </si>
  <si>
    <t>OP147</t>
  </si>
  <si>
    <t>OP148</t>
  </si>
  <si>
    <t>OP149</t>
  </si>
  <si>
    <t>OP150</t>
  </si>
  <si>
    <t>OP151</t>
  </si>
  <si>
    <t>OP152</t>
  </si>
  <si>
    <t>OP153</t>
  </si>
  <si>
    <t>OP154</t>
  </si>
  <si>
    <t>OP155</t>
  </si>
  <si>
    <t>OP156</t>
  </si>
  <si>
    <t>OP157</t>
  </si>
  <si>
    <t>OP158</t>
  </si>
  <si>
    <t>OP159</t>
  </si>
  <si>
    <t>OP160</t>
  </si>
  <si>
    <t>OP161</t>
  </si>
  <si>
    <t>OP162</t>
  </si>
  <si>
    <t>OP163</t>
  </si>
  <si>
    <t>OP164</t>
  </si>
  <si>
    <t>OP165</t>
  </si>
  <si>
    <t>OP166</t>
  </si>
  <si>
    <t>OP167</t>
  </si>
  <si>
    <t>OP168</t>
  </si>
  <si>
    <t>OP169</t>
  </si>
  <si>
    <t>OP170</t>
  </si>
  <si>
    <t>OP171</t>
  </si>
  <si>
    <t>OP172</t>
  </si>
  <si>
    <t>OP173</t>
  </si>
  <si>
    <t>OP174</t>
  </si>
  <si>
    <t>OP175</t>
  </si>
  <si>
    <t>OP176</t>
  </si>
  <si>
    <t>OP177</t>
  </si>
  <si>
    <t>OP178</t>
  </si>
  <si>
    <t>OP179</t>
  </si>
  <si>
    <t>OP180</t>
  </si>
  <si>
    <t>OP181</t>
  </si>
  <si>
    <t>OP182</t>
  </si>
  <si>
    <t>OP183</t>
  </si>
  <si>
    <t>OP184</t>
  </si>
  <si>
    <t>OP185</t>
  </si>
  <si>
    <t>OP186</t>
  </si>
  <si>
    <t>OP187</t>
  </si>
  <si>
    <t>OP188</t>
  </si>
  <si>
    <t>OP189</t>
  </si>
  <si>
    <t>OP190</t>
  </si>
  <si>
    <t>OP191</t>
  </si>
  <si>
    <t>OP192</t>
  </si>
  <si>
    <t>OP193</t>
  </si>
  <si>
    <t>OP194</t>
  </si>
  <si>
    <t>OP195</t>
  </si>
  <si>
    <t>OP196</t>
  </si>
  <si>
    <t>OP197</t>
  </si>
  <si>
    <t>OP198</t>
  </si>
  <si>
    <t>OP199</t>
  </si>
  <si>
    <t>OP200</t>
  </si>
  <si>
    <t>Customer R</t>
  </si>
  <si>
    <t>Customer G</t>
  </si>
  <si>
    <t>Customer N</t>
  </si>
  <si>
    <t>Customer L</t>
  </si>
  <si>
    <t>Customer H</t>
  </si>
  <si>
    <t>Customer C</t>
  </si>
  <si>
    <t>Customer K</t>
  </si>
  <si>
    <t>Customer Q</t>
  </si>
  <si>
    <t>Customer T</t>
  </si>
  <si>
    <t>Customer D</t>
  </si>
  <si>
    <t>Customer I</t>
  </si>
  <si>
    <t>Customer E</t>
  </si>
  <si>
    <t>Customer J</t>
  </si>
  <si>
    <t>Customer O</t>
  </si>
  <si>
    <t>Customer A</t>
  </si>
  <si>
    <t>Customer P</t>
  </si>
  <si>
    <t>Customer B</t>
  </si>
  <si>
    <t>Customer S</t>
  </si>
  <si>
    <t>Customer F</t>
  </si>
  <si>
    <t>Customer M</t>
  </si>
  <si>
    <t>Application Review</t>
  </si>
  <si>
    <t>Data Verification</t>
  </si>
  <si>
    <t>Documentation</t>
  </si>
  <si>
    <t>Credential Review</t>
  </si>
  <si>
    <t>Enrollment</t>
  </si>
  <si>
    <t>Completed</t>
  </si>
  <si>
    <t>Pending</t>
  </si>
  <si>
    <t>In Progress</t>
  </si>
  <si>
    <t>On Hold</t>
  </si>
  <si>
    <t>No</t>
  </si>
  <si>
    <t>Yes</t>
  </si>
  <si>
    <t>Pass</t>
  </si>
  <si>
    <t>Review</t>
  </si>
  <si>
    <t>High</t>
  </si>
  <si>
    <t>Low</t>
  </si>
  <si>
    <t>Medium</t>
  </si>
  <si>
    <t>Quality Team</t>
  </si>
  <si>
    <t>Operations C</t>
  </si>
  <si>
    <t>Operations B</t>
  </si>
  <si>
    <t>Operations A</t>
  </si>
  <si>
    <t>Row Labels</t>
  </si>
  <si>
    <t>Grand Total</t>
  </si>
  <si>
    <t>Count of Record_ID</t>
  </si>
  <si>
    <t xml:space="preserve">OPERATIONS DATA QUALITY &amp; PROCESS MONITORING DASHBOARD							</t>
  </si>
  <si>
    <t>Process Volume &amp; Processing Time</t>
  </si>
  <si>
    <t>Data Quality Status</t>
  </si>
  <si>
    <t>TOTAL RECORDS</t>
  </si>
  <si>
    <t>COMPLETED</t>
  </si>
  <si>
    <t>PENDING</t>
  </si>
  <si>
    <t>MISSING INFO</t>
  </si>
  <si>
    <t>Operational Status Overview</t>
  </si>
  <si>
    <t xml:space="preserve">           AVG PROCESSING DAYS</t>
  </si>
  <si>
    <t>KEY OPERATIONAL INSIGHTS</t>
  </si>
  <si>
    <t>109 of 200 records are completed.</t>
  </si>
  <si>
    <t>38 records remain pending.</t>
  </si>
  <si>
    <t>55 records contain missing information.</t>
  </si>
  <si>
    <t>Average processing time is 4.67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</si>
</sst>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rial Unicode MS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Arial Unicode MS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6"/>
      <color theme="1"/>
      <name val="Arial Unicode MS"/>
    </font>
    <font>
      <sz val="18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vertical="center"/>
    </xf>
    <xf numFmtId="0" fontId="6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 readingOrder="1"/>
    </xf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0" fillId="0" borderId="0" xfId="0" applyBorder="1"/>
    <xf numFmtId="0" fontId="2" fillId="5" borderId="0" xfId="0" applyFont="1" applyFill="1" applyBorder="1"/>
    <xf numFmtId="0" fontId="12" fillId="5" borderId="3" xfId="0" applyFont="1" applyFill="1" applyBorder="1" applyAlignment="1">
      <alignment vertical="center"/>
    </xf>
    <xf numFmtId="0" fontId="2" fillId="5" borderId="7" xfId="0" applyFont="1" applyFill="1" applyBorder="1"/>
    <xf numFmtId="0" fontId="2" fillId="5" borderId="4" xfId="0" applyFont="1" applyFill="1" applyBorder="1"/>
    <xf numFmtId="0" fontId="12" fillId="5" borderId="11" xfId="0" applyFont="1" applyFill="1" applyBorder="1" applyAlignment="1">
      <alignment vertical="center"/>
    </xf>
    <xf numFmtId="0" fontId="2" fillId="5" borderId="10" xfId="0" applyFont="1" applyFill="1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4" borderId="12" xfId="0" applyFill="1" applyBorder="1"/>
    <xf numFmtId="0" fontId="9" fillId="4" borderId="9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[Operations_Data_Quality.xlsx]Missing Information!PivotTable11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Information Completeness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'Missing Information'!$B$3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D7-40EC-8442-AFCAACF162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D7-40EC-8442-AFCAACF162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'Missing Information'!$A$4:$A$6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'Missing Information'!$B$4:$B$6</c:f>
              <c:numCache>
                <c:formatCode>General</c:formatCode>
                <c:ptCount val="2"/>
                <c:pt idx="0">
                  <c:v>145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D-4AF4-970E-48F720C7EE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[Operations_Data_Quality.xlsx]Data Quality Status!PivotTable3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Data Quality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'Data Quality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D3-4E6F-A0F8-64AAF7495D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D3-4E6F-A0F8-64AAF7495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 Status'!$A$4:$A$6</c:f>
              <c:strCache>
                <c:ptCount val="2"/>
                <c:pt idx="0">
                  <c:v>Pass</c:v>
                </c:pt>
                <c:pt idx="1">
                  <c:v>Review</c:v>
                </c:pt>
              </c:strCache>
            </c:strRef>
          </c:cat>
          <c:val>
            <c:numRef>
              <c:f>'Data Quality Status'!$B$4:$B$6</c:f>
              <c:numCache>
                <c:formatCode>General</c:formatCode>
                <c:ptCount val="2"/>
                <c:pt idx="0">
                  <c:v>156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0-4781-BDD7-02C8B32991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[Operations_Data_Quality.xlsx]Pending Work by Priority!PivotTable4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Pending Work by Priority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'Pending Work by Priority'!$B$3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Work by Priority'!$A$4:$A$7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'Pending Work by Priority'!$B$4:$B$7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1-41E0-9CA7-3278459983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74319280"/>
        <c:axId val="1274116528"/>
      </c:barChart>
      <c:catAx>
        <c:axId val="12743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16528"/>
        <c:crosses val="autoZero"/>
        <c:auto val="1"/>
        <c:lblAlgn val="ctr"/>
        <c:lblOffset val="100"/>
        <c:noMultiLvlLbl val="0"/>
      </c:catAx>
      <c:valAx>
        <c:axId val="1274116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43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[Operations_Data_Quality.xlsx]Process Volume &amp; Processing Tim!PivotTable2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Process Volume by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'Process Volume &amp; Processing Tim'!$B$3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'Process Volume &amp; Processing Tim'!$A$4:$A$9</c:f>
              <c:strCache>
                <c:ptCount val="5"/>
                <c:pt idx="0">
                  <c:v>Application Review</c:v>
                </c:pt>
                <c:pt idx="1">
                  <c:v>Credential Review</c:v>
                </c:pt>
                <c:pt idx="2">
                  <c:v>Data Verification</c:v>
                </c:pt>
                <c:pt idx="3">
                  <c:v>Documentation</c:v>
                </c:pt>
                <c:pt idx="4">
                  <c:v>Enrollment</c:v>
                </c:pt>
              </c:strCache>
            </c:strRef>
          </c:cat>
          <c:val>
            <c:numRef>
              <c:f>'Process Volume &amp; Processing Tim'!$B$4:$B$9</c:f>
              <c:numCache>
                <c:formatCode>General</c:formatCode>
                <c:ptCount val="5"/>
                <c:pt idx="0">
                  <c:v>48</c:v>
                </c:pt>
                <c:pt idx="1">
                  <c:v>39</c:v>
                </c:pt>
                <c:pt idx="2">
                  <c:v>38</c:v>
                </c:pt>
                <c:pt idx="3">
                  <c:v>36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6-41FA-BAC8-47A2CE9AD9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1740656"/>
        <c:axId val="1274137648"/>
      </c:barChart>
      <c:catAx>
        <c:axId val="127174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37648"/>
        <c:crosses val="autoZero"/>
        <c:auto val="1"/>
        <c:lblAlgn val="ctr"/>
        <c:lblOffset val="100"/>
        <c:noMultiLvlLbl val="0"/>
      </c:catAx>
      <c:valAx>
        <c:axId val="1274137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[Operations_Data_Quality.xlsx]Operational Status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Operational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'Operational Status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'Operational Status Overview'!$A$4:$A$8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On Hold</c:v>
                </c:pt>
                <c:pt idx="3">
                  <c:v>Pending</c:v>
                </c:pt>
              </c:strCache>
            </c:strRef>
          </c:cat>
          <c:val>
            <c:numRef>
              <c:f>'Operational Status Overview'!$B$4:$B$8</c:f>
              <c:numCache>
                <c:formatCode>General</c:formatCode>
                <c:ptCount val="4"/>
                <c:pt idx="0">
                  <c:v>109</c:v>
                </c:pt>
                <c:pt idx="1">
                  <c:v>42</c:v>
                </c:pt>
                <c:pt idx="2">
                  <c:v>11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B-413E-93C5-F64AE28B7D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4307216"/>
        <c:axId val="1274119888"/>
      </c:barChart>
      <c:catAx>
        <c:axId val="127430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19888"/>
        <c:crosses val="autoZero"/>
        <c:auto val="1"/>
        <c:lblAlgn val="ctr"/>
        <c:lblOffset val="100"/>
        <c:noMultiLvlLbl val="0"/>
      </c:catAx>
      <c:valAx>
        <c:axId val="1274119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0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[Operations_Data_Quality.xlsx]Process Volume &amp; Processing Tim!PivotTable2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Process Volume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'Process Volume &amp; Processing Tim'!$B$3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'Process Volume &amp; Processing Tim'!$A$4:$A$9</c:f>
              <c:strCache>
                <c:ptCount val="5"/>
                <c:pt idx="0">
                  <c:v>Application Review</c:v>
                </c:pt>
                <c:pt idx="1">
                  <c:v>Credential Review</c:v>
                </c:pt>
                <c:pt idx="2">
                  <c:v>Data Verification</c:v>
                </c:pt>
                <c:pt idx="3">
                  <c:v>Documentation</c:v>
                </c:pt>
                <c:pt idx="4">
                  <c:v>Enrollment</c:v>
                </c:pt>
              </c:strCache>
            </c:strRef>
          </c:cat>
          <c:val>
            <c:numRef>
              <c:f>'Process Volume &amp; Processing Tim'!$B$4:$B$9</c:f>
              <c:numCache>
                <c:formatCode>General</c:formatCode>
                <c:ptCount val="5"/>
                <c:pt idx="0">
                  <c:v>48</c:v>
                </c:pt>
                <c:pt idx="1">
                  <c:v>39</c:v>
                </c:pt>
                <c:pt idx="2">
                  <c:v>38</c:v>
                </c:pt>
                <c:pt idx="3">
                  <c:v>36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F-4041-AA1B-4B26798448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1740656"/>
        <c:axId val="1274137648"/>
      </c:barChart>
      <c:catAx>
        <c:axId val="127174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37648"/>
        <c:crosses val="autoZero"/>
        <c:auto val="1"/>
        <c:lblAlgn val="ctr"/>
        <c:lblOffset val="100"/>
        <c:noMultiLvlLbl val="0"/>
      </c:catAx>
      <c:valAx>
        <c:axId val="1274137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[Operations_Data_Quality.xlsx]Pending Work by Priority!PivotTable4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Pending Work by Priority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'Pending Work by Priority'!$B$3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Work by Priority'!$A$4:$A$7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'Pending Work by Priority'!$B$4:$B$7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4-41B1-8107-F485D5DBD8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74319280"/>
        <c:axId val="1274116528"/>
      </c:barChart>
      <c:catAx>
        <c:axId val="12743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16528"/>
        <c:crosses val="autoZero"/>
        <c:auto val="1"/>
        <c:lblAlgn val="ctr"/>
        <c:lblOffset val="100"/>
        <c:noMultiLvlLbl val="0"/>
      </c:catAx>
      <c:valAx>
        <c:axId val="1274116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43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[Operations_Data_Quality.xlsx]Data Quality Status!PivotTable3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Data Quality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'Data Quality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3A-493E-8786-D6A758281F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3A-493E-8786-D6A758281F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3A-493E-8786-D6A758281F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3A-493E-8786-D6A758281F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 Status'!$A$4:$A$6</c:f>
              <c:strCache>
                <c:ptCount val="2"/>
                <c:pt idx="0">
                  <c:v>Pass</c:v>
                </c:pt>
                <c:pt idx="1">
                  <c:v>Review</c:v>
                </c:pt>
              </c:strCache>
            </c:strRef>
          </c:cat>
          <c:val>
            <c:numRef>
              <c:f>'Data Quality Status'!$B$4:$B$6</c:f>
              <c:numCache>
                <c:formatCode>General</c:formatCode>
                <c:ptCount val="2"/>
                <c:pt idx="0">
                  <c:v>156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3A-493E-8786-D6A758281F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[Operations_Data_Quality.xlsx]Missing Information!PivotTable11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Information Completeness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'Missing Information'!$B$3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25-4B02-A1DE-723BC0DDC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25-4B02-A1DE-723BC0DDC8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'Missing Information'!$A$4:$A$6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'Missing Information'!$B$4:$B$6</c:f>
              <c:numCache>
                <c:formatCode>General</c:formatCode>
                <c:ptCount val="2"/>
                <c:pt idx="0">
                  <c:v>145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25-4B02-A1DE-723BC0DDC8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179070</xdr:rowOff>
    </xdr:from>
    <xdr:to>
      <xdr:col>10</xdr:col>
      <xdr:colOff>53340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C7CB1-2C36-E893-94A1-191FD934C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1</xdr:row>
      <xdr:rowOff>156210</xdr:rowOff>
    </xdr:from>
    <xdr:to>
      <xdr:col>11</xdr:col>
      <xdr:colOff>129540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E1C0C6-1365-FEF2-0EB0-C2C23B8A0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0</xdr:row>
      <xdr:rowOff>0</xdr:rowOff>
    </xdr:from>
    <xdr:to>
      <xdr:col>11</xdr:col>
      <xdr:colOff>106680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FFD9F-0ECD-E214-079D-39A5F72E1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2</xdr:row>
      <xdr:rowOff>11430</xdr:rowOff>
    </xdr:from>
    <xdr:to>
      <xdr:col>10</xdr:col>
      <xdr:colOff>45720</xdr:colOff>
      <xdr:row>17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9B511-0E1F-D424-3E68-6C696135A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1</xdr:row>
      <xdr:rowOff>125730</xdr:rowOff>
    </xdr:from>
    <xdr:to>
      <xdr:col>10</xdr:col>
      <xdr:colOff>91440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B2599-3EF6-A4E9-5D75-5C31B4087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124691</xdr:colOff>
      <xdr:row>5</xdr:row>
      <xdr:rowOff>96981</xdr:rowOff>
    </xdr:from>
    <xdr:to>
      <xdr:col>3</xdr:col>
      <xdr:colOff>471055</xdr:colOff>
      <xdr:row>20</xdr:row>
      <xdr:rowOff>84512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693FF3-BFBB-4B13-B57C-721A8A123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775855</xdr:colOff>
      <xdr:row>5</xdr:row>
      <xdr:rowOff>96982</xdr:rowOff>
    </xdr:from>
    <xdr:to>
      <xdr:col>8</xdr:col>
      <xdr:colOff>193964</xdr:colOff>
      <xdr:row>20</xdr:row>
      <xdr:rowOff>58387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25259B-8B53-40A7-ADAC-9812D277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166255</xdr:colOff>
      <xdr:row>21</xdr:row>
      <xdr:rowOff>13855</xdr:rowOff>
    </xdr:from>
    <xdr:to>
      <xdr:col>3</xdr:col>
      <xdr:colOff>512619</xdr:colOff>
      <xdr:row>36</xdr:row>
      <xdr:rowOff>55419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B123F4-6145-41B5-8064-B70D6B364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789710</xdr:colOff>
      <xdr:row>21</xdr:row>
      <xdr:rowOff>41564</xdr:rowOff>
    </xdr:from>
    <xdr:to>
      <xdr:col>8</xdr:col>
      <xdr:colOff>207819</xdr:colOff>
      <xdr:row>36</xdr:row>
      <xdr:rowOff>83128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A11745-A5E2-4300-AEC8-192F4D3EA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med Badde" refreshedDate="46289.568709953703" createdVersion="8" refreshedVersion="8" minRefreshableVersion="3" recordCount="200" xr:uid="{CA0A52EC-5B3F-4E8D-B3D7-D7B948A4B968}">
  <cacheSource type="worksheet">
    <worksheetSource name="OperationsData"/>
  </cacheSource>
  <cacheFields count="10">
    <cacheField name="Record_ID" numFmtId="0">
      <sharedItems/>
    </cacheField>
    <cacheField name="Customer" numFmtId="0">
      <sharedItems/>
    </cacheField>
    <cacheField name="Process_Type" numFmtId="0">
      <sharedItems count="5">
        <s v="Application Review"/>
        <s v="Data Verification"/>
        <s v="Documentation"/>
        <s v="Credential Review"/>
        <s v="Enrollment"/>
      </sharedItems>
    </cacheField>
    <cacheField name="Received_Date" numFmtId="164">
      <sharedItems containsSemiMixedTypes="0" containsNonDate="0" containsDate="1" containsString="0" minDate="2026-08-01T00:00:00" maxDate="2026-09-26T00:00:00"/>
    </cacheField>
    <cacheField name="Status" numFmtId="0">
      <sharedItems count="4">
        <s v="Completed"/>
        <s v="Pending"/>
        <s v="In Progress"/>
        <s v="On Hold"/>
      </sharedItems>
    </cacheField>
    <cacheField name="Missing_Info" numFmtId="0">
      <sharedItems count="2">
        <s v="No"/>
        <s v="Yes"/>
      </sharedItems>
    </cacheField>
    <cacheField name="Processing_Days" numFmtId="0">
      <sharedItems containsSemiMixedTypes="0" containsString="0" containsNumber="1" containsInteger="1" minValue="1" maxValue="11"/>
    </cacheField>
    <cacheField name="Accuracy_Check" numFmtId="0">
      <sharedItems count="2">
        <s v="Pass"/>
        <s v="Review"/>
      </sharedItems>
    </cacheField>
    <cacheField name="Priority" numFmtId="0">
      <sharedItems count="3">
        <s v="High"/>
        <s v="Low"/>
        <s v="Medium"/>
      </sharedItems>
    </cacheField>
    <cacheField name="Assigned_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P001"/>
    <s v="Customer R"/>
    <x v="0"/>
    <d v="2026-08-07T00:00:00"/>
    <x v="0"/>
    <x v="0"/>
    <n v="2"/>
    <x v="0"/>
    <x v="0"/>
    <s v="Quality Team"/>
  </r>
  <r>
    <s v="OP002"/>
    <s v="Customer G"/>
    <x v="0"/>
    <d v="2026-09-05T00:00:00"/>
    <x v="0"/>
    <x v="0"/>
    <n v="5"/>
    <x v="0"/>
    <x v="1"/>
    <s v="Quality Team"/>
  </r>
  <r>
    <s v="OP003"/>
    <s v="Customer N"/>
    <x v="1"/>
    <d v="2026-08-11T00:00:00"/>
    <x v="0"/>
    <x v="0"/>
    <n v="1"/>
    <x v="0"/>
    <x v="2"/>
    <s v="Operations C"/>
  </r>
  <r>
    <s v="OP004"/>
    <s v="Customer L"/>
    <x v="1"/>
    <d v="2026-08-07T00:00:00"/>
    <x v="0"/>
    <x v="0"/>
    <n v="1"/>
    <x v="0"/>
    <x v="2"/>
    <s v="Operations C"/>
  </r>
  <r>
    <s v="OP005"/>
    <s v="Customer L"/>
    <x v="0"/>
    <d v="2026-09-25T00:00:00"/>
    <x v="1"/>
    <x v="1"/>
    <n v="9"/>
    <x v="0"/>
    <x v="1"/>
    <s v="Operations B"/>
  </r>
  <r>
    <s v="OP006"/>
    <s v="Customer H"/>
    <x v="0"/>
    <d v="2026-09-24T00:00:00"/>
    <x v="0"/>
    <x v="0"/>
    <n v="3"/>
    <x v="1"/>
    <x v="0"/>
    <s v="Quality Team"/>
  </r>
  <r>
    <s v="OP007"/>
    <s v="Customer C"/>
    <x v="2"/>
    <d v="2026-08-18T00:00:00"/>
    <x v="0"/>
    <x v="1"/>
    <n v="2"/>
    <x v="1"/>
    <x v="1"/>
    <s v="Operations B"/>
  </r>
  <r>
    <s v="OP008"/>
    <s v="Customer K"/>
    <x v="3"/>
    <d v="2026-08-15T00:00:00"/>
    <x v="1"/>
    <x v="1"/>
    <n v="9"/>
    <x v="1"/>
    <x v="0"/>
    <s v="Operations B"/>
  </r>
  <r>
    <s v="OP009"/>
    <s v="Customer K"/>
    <x v="0"/>
    <d v="2026-09-06T00:00:00"/>
    <x v="2"/>
    <x v="0"/>
    <n v="2"/>
    <x v="0"/>
    <x v="0"/>
    <s v="Quality Team"/>
  </r>
  <r>
    <s v="OP010"/>
    <s v="Customer R"/>
    <x v="4"/>
    <d v="2026-08-16T00:00:00"/>
    <x v="2"/>
    <x v="0"/>
    <n v="3"/>
    <x v="0"/>
    <x v="1"/>
    <s v="Operations C"/>
  </r>
  <r>
    <s v="OP011"/>
    <s v="Customer Q"/>
    <x v="3"/>
    <d v="2026-08-09T00:00:00"/>
    <x v="0"/>
    <x v="0"/>
    <n v="3"/>
    <x v="0"/>
    <x v="2"/>
    <s v="Operations A"/>
  </r>
  <r>
    <s v="OP012"/>
    <s v="Customer T"/>
    <x v="0"/>
    <d v="2026-08-28T00:00:00"/>
    <x v="2"/>
    <x v="0"/>
    <n v="3"/>
    <x v="0"/>
    <x v="0"/>
    <s v="Quality Team"/>
  </r>
  <r>
    <s v="OP013"/>
    <s v="Customer D"/>
    <x v="4"/>
    <d v="2026-08-01T00:00:00"/>
    <x v="1"/>
    <x v="0"/>
    <n v="7"/>
    <x v="0"/>
    <x v="1"/>
    <s v="Operations C"/>
  </r>
  <r>
    <s v="OP014"/>
    <s v="Customer I"/>
    <x v="2"/>
    <d v="2026-09-16T00:00:00"/>
    <x v="0"/>
    <x v="0"/>
    <n v="4"/>
    <x v="0"/>
    <x v="1"/>
    <s v="Operations B"/>
  </r>
  <r>
    <s v="OP015"/>
    <s v="Customer E"/>
    <x v="3"/>
    <d v="2026-08-13T00:00:00"/>
    <x v="2"/>
    <x v="1"/>
    <n v="4"/>
    <x v="0"/>
    <x v="2"/>
    <s v="Operations B"/>
  </r>
  <r>
    <s v="OP016"/>
    <s v="Customer J"/>
    <x v="3"/>
    <d v="2026-08-24T00:00:00"/>
    <x v="3"/>
    <x v="1"/>
    <n v="4"/>
    <x v="1"/>
    <x v="0"/>
    <s v="Operations A"/>
  </r>
  <r>
    <s v="OP017"/>
    <s v="Customer R"/>
    <x v="1"/>
    <d v="2026-09-18T00:00:00"/>
    <x v="2"/>
    <x v="1"/>
    <n v="2"/>
    <x v="0"/>
    <x v="0"/>
    <s v="Operations B"/>
  </r>
  <r>
    <s v="OP018"/>
    <s v="Customer G"/>
    <x v="4"/>
    <d v="2026-08-28T00:00:00"/>
    <x v="2"/>
    <x v="0"/>
    <n v="6"/>
    <x v="0"/>
    <x v="1"/>
    <s v="Operations B"/>
  </r>
  <r>
    <s v="OP019"/>
    <s v="Customer O"/>
    <x v="2"/>
    <d v="2026-09-03T00:00:00"/>
    <x v="0"/>
    <x v="0"/>
    <n v="3"/>
    <x v="0"/>
    <x v="0"/>
    <s v="Operations B"/>
  </r>
  <r>
    <s v="OP020"/>
    <s v="Customer A"/>
    <x v="1"/>
    <d v="2026-08-15T00:00:00"/>
    <x v="0"/>
    <x v="0"/>
    <n v="5"/>
    <x v="0"/>
    <x v="0"/>
    <s v="Operations A"/>
  </r>
  <r>
    <s v="OP021"/>
    <s v="Customer I"/>
    <x v="1"/>
    <d v="2026-08-16T00:00:00"/>
    <x v="0"/>
    <x v="0"/>
    <n v="3"/>
    <x v="0"/>
    <x v="1"/>
    <s v="Quality Team"/>
  </r>
  <r>
    <s v="OP022"/>
    <s v="Customer P"/>
    <x v="1"/>
    <d v="2026-08-16T00:00:00"/>
    <x v="0"/>
    <x v="0"/>
    <n v="5"/>
    <x v="0"/>
    <x v="2"/>
    <s v="Operations B"/>
  </r>
  <r>
    <s v="OP023"/>
    <s v="Customer B"/>
    <x v="0"/>
    <d v="2026-09-25T00:00:00"/>
    <x v="0"/>
    <x v="0"/>
    <n v="4"/>
    <x v="0"/>
    <x v="1"/>
    <s v="Operations A"/>
  </r>
  <r>
    <s v="OP024"/>
    <s v="Customer R"/>
    <x v="0"/>
    <d v="2026-08-13T00:00:00"/>
    <x v="0"/>
    <x v="0"/>
    <n v="1"/>
    <x v="0"/>
    <x v="2"/>
    <s v="Operations B"/>
  </r>
  <r>
    <s v="OP025"/>
    <s v="Customer R"/>
    <x v="4"/>
    <d v="2026-09-25T00:00:00"/>
    <x v="0"/>
    <x v="0"/>
    <n v="1"/>
    <x v="0"/>
    <x v="0"/>
    <s v="Operations A"/>
  </r>
  <r>
    <s v="OP026"/>
    <s v="Customer P"/>
    <x v="3"/>
    <d v="2026-09-01T00:00:00"/>
    <x v="2"/>
    <x v="1"/>
    <n v="8"/>
    <x v="1"/>
    <x v="0"/>
    <s v="Quality Team"/>
  </r>
  <r>
    <s v="OP027"/>
    <s v="Customer O"/>
    <x v="0"/>
    <d v="2026-09-20T00:00:00"/>
    <x v="0"/>
    <x v="0"/>
    <n v="4"/>
    <x v="0"/>
    <x v="2"/>
    <s v="Quality Team"/>
  </r>
  <r>
    <s v="OP028"/>
    <s v="Customer B"/>
    <x v="3"/>
    <d v="2026-09-04T00:00:00"/>
    <x v="1"/>
    <x v="1"/>
    <n v="6"/>
    <x v="1"/>
    <x v="1"/>
    <s v="Operations C"/>
  </r>
  <r>
    <s v="OP029"/>
    <s v="Customer C"/>
    <x v="0"/>
    <d v="2026-09-02T00:00:00"/>
    <x v="0"/>
    <x v="0"/>
    <n v="5"/>
    <x v="0"/>
    <x v="0"/>
    <s v="Operations A"/>
  </r>
  <r>
    <s v="OP030"/>
    <s v="Customer S"/>
    <x v="3"/>
    <d v="2026-08-16T00:00:00"/>
    <x v="0"/>
    <x v="1"/>
    <n v="4"/>
    <x v="0"/>
    <x v="1"/>
    <s v="Operations A"/>
  </r>
  <r>
    <s v="OP031"/>
    <s v="Customer G"/>
    <x v="3"/>
    <d v="2026-08-17T00:00:00"/>
    <x v="0"/>
    <x v="0"/>
    <n v="5"/>
    <x v="0"/>
    <x v="1"/>
    <s v="Operations C"/>
  </r>
  <r>
    <s v="OP032"/>
    <s v="Customer C"/>
    <x v="1"/>
    <d v="2026-08-21T00:00:00"/>
    <x v="0"/>
    <x v="0"/>
    <n v="6"/>
    <x v="0"/>
    <x v="0"/>
    <s v="Quality Team"/>
  </r>
  <r>
    <s v="OP033"/>
    <s v="Customer C"/>
    <x v="3"/>
    <d v="2026-08-23T00:00:00"/>
    <x v="3"/>
    <x v="1"/>
    <n v="5"/>
    <x v="1"/>
    <x v="0"/>
    <s v="Operations C"/>
  </r>
  <r>
    <s v="OP034"/>
    <s v="Customer Q"/>
    <x v="2"/>
    <d v="2026-09-21T00:00:00"/>
    <x v="0"/>
    <x v="1"/>
    <n v="6"/>
    <x v="0"/>
    <x v="0"/>
    <s v="Operations C"/>
  </r>
  <r>
    <s v="OP035"/>
    <s v="Customer R"/>
    <x v="0"/>
    <d v="2026-09-17T00:00:00"/>
    <x v="2"/>
    <x v="0"/>
    <n v="2"/>
    <x v="1"/>
    <x v="0"/>
    <s v="Operations C"/>
  </r>
  <r>
    <s v="OP036"/>
    <s v="Customer P"/>
    <x v="2"/>
    <d v="2026-09-02T00:00:00"/>
    <x v="1"/>
    <x v="0"/>
    <n v="6"/>
    <x v="0"/>
    <x v="2"/>
    <s v="Operations A"/>
  </r>
  <r>
    <s v="OP037"/>
    <s v="Customer F"/>
    <x v="0"/>
    <d v="2026-08-17T00:00:00"/>
    <x v="1"/>
    <x v="1"/>
    <n v="3"/>
    <x v="0"/>
    <x v="1"/>
    <s v="Quality Team"/>
  </r>
  <r>
    <s v="OP038"/>
    <s v="Customer B"/>
    <x v="3"/>
    <d v="2026-09-04T00:00:00"/>
    <x v="1"/>
    <x v="1"/>
    <n v="4"/>
    <x v="1"/>
    <x v="2"/>
    <s v="Operations B"/>
  </r>
  <r>
    <s v="OP039"/>
    <s v="Customer H"/>
    <x v="4"/>
    <d v="2026-08-14T00:00:00"/>
    <x v="0"/>
    <x v="0"/>
    <n v="1"/>
    <x v="1"/>
    <x v="1"/>
    <s v="Operations A"/>
  </r>
  <r>
    <s v="OP040"/>
    <s v="Customer F"/>
    <x v="2"/>
    <d v="2026-08-16T00:00:00"/>
    <x v="2"/>
    <x v="1"/>
    <n v="5"/>
    <x v="1"/>
    <x v="0"/>
    <s v="Quality Team"/>
  </r>
  <r>
    <s v="OP041"/>
    <s v="Customer H"/>
    <x v="0"/>
    <d v="2026-09-21T00:00:00"/>
    <x v="0"/>
    <x v="1"/>
    <n v="4"/>
    <x v="0"/>
    <x v="2"/>
    <s v="Operations B"/>
  </r>
  <r>
    <s v="OP042"/>
    <s v="Customer O"/>
    <x v="0"/>
    <d v="2026-09-22T00:00:00"/>
    <x v="0"/>
    <x v="0"/>
    <n v="4"/>
    <x v="0"/>
    <x v="2"/>
    <s v="Operations C"/>
  </r>
  <r>
    <s v="OP043"/>
    <s v="Customer C"/>
    <x v="1"/>
    <d v="2026-09-25T00:00:00"/>
    <x v="0"/>
    <x v="0"/>
    <n v="4"/>
    <x v="0"/>
    <x v="2"/>
    <s v="Operations C"/>
  </r>
  <r>
    <s v="OP044"/>
    <s v="Customer F"/>
    <x v="3"/>
    <d v="2026-08-17T00:00:00"/>
    <x v="0"/>
    <x v="1"/>
    <n v="5"/>
    <x v="1"/>
    <x v="1"/>
    <s v="Operations C"/>
  </r>
  <r>
    <s v="OP045"/>
    <s v="Customer T"/>
    <x v="0"/>
    <d v="2026-08-28T00:00:00"/>
    <x v="0"/>
    <x v="0"/>
    <n v="6"/>
    <x v="0"/>
    <x v="1"/>
    <s v="Operations A"/>
  </r>
  <r>
    <s v="OP046"/>
    <s v="Customer Q"/>
    <x v="4"/>
    <d v="2026-08-01T00:00:00"/>
    <x v="2"/>
    <x v="0"/>
    <n v="2"/>
    <x v="0"/>
    <x v="1"/>
    <s v="Operations B"/>
  </r>
  <r>
    <s v="OP047"/>
    <s v="Customer J"/>
    <x v="2"/>
    <d v="2026-08-08T00:00:00"/>
    <x v="0"/>
    <x v="1"/>
    <n v="3"/>
    <x v="0"/>
    <x v="1"/>
    <s v="Operations C"/>
  </r>
  <r>
    <s v="OP048"/>
    <s v="Customer M"/>
    <x v="4"/>
    <d v="2026-08-27T00:00:00"/>
    <x v="0"/>
    <x v="0"/>
    <n v="5"/>
    <x v="0"/>
    <x v="1"/>
    <s v="Operations B"/>
  </r>
  <r>
    <s v="OP049"/>
    <s v="Customer K"/>
    <x v="3"/>
    <d v="2026-09-08T00:00:00"/>
    <x v="1"/>
    <x v="1"/>
    <n v="3"/>
    <x v="0"/>
    <x v="2"/>
    <s v="Quality Team"/>
  </r>
  <r>
    <s v="OP050"/>
    <s v="Customer T"/>
    <x v="4"/>
    <d v="2026-09-12T00:00:00"/>
    <x v="1"/>
    <x v="0"/>
    <n v="5"/>
    <x v="0"/>
    <x v="2"/>
    <s v="Operations A"/>
  </r>
  <r>
    <s v="OP051"/>
    <s v="Customer C"/>
    <x v="1"/>
    <d v="2026-09-09T00:00:00"/>
    <x v="1"/>
    <x v="1"/>
    <n v="6"/>
    <x v="0"/>
    <x v="2"/>
    <s v="Quality Team"/>
  </r>
  <r>
    <s v="OP052"/>
    <s v="Customer A"/>
    <x v="3"/>
    <d v="2026-08-10T00:00:00"/>
    <x v="0"/>
    <x v="0"/>
    <n v="4"/>
    <x v="0"/>
    <x v="0"/>
    <s v="Quality Team"/>
  </r>
  <r>
    <s v="OP053"/>
    <s v="Customer D"/>
    <x v="1"/>
    <d v="2026-09-24T00:00:00"/>
    <x v="0"/>
    <x v="1"/>
    <n v="5"/>
    <x v="0"/>
    <x v="2"/>
    <s v="Operations B"/>
  </r>
  <r>
    <s v="OP054"/>
    <s v="Customer Q"/>
    <x v="4"/>
    <d v="2026-09-16T00:00:00"/>
    <x v="1"/>
    <x v="1"/>
    <n v="8"/>
    <x v="1"/>
    <x v="2"/>
    <s v="Quality Team"/>
  </r>
  <r>
    <s v="OP055"/>
    <s v="Customer I"/>
    <x v="1"/>
    <d v="2026-09-23T00:00:00"/>
    <x v="2"/>
    <x v="0"/>
    <n v="4"/>
    <x v="0"/>
    <x v="1"/>
    <s v="Quality Team"/>
  </r>
  <r>
    <s v="OP056"/>
    <s v="Customer K"/>
    <x v="1"/>
    <d v="2026-08-22T00:00:00"/>
    <x v="0"/>
    <x v="0"/>
    <n v="3"/>
    <x v="0"/>
    <x v="1"/>
    <s v="Operations A"/>
  </r>
  <r>
    <s v="OP057"/>
    <s v="Customer N"/>
    <x v="1"/>
    <d v="2026-08-05T00:00:00"/>
    <x v="0"/>
    <x v="0"/>
    <n v="2"/>
    <x v="0"/>
    <x v="2"/>
    <s v="Operations C"/>
  </r>
  <r>
    <s v="OP058"/>
    <s v="Customer S"/>
    <x v="3"/>
    <d v="2026-09-19T00:00:00"/>
    <x v="0"/>
    <x v="0"/>
    <n v="4"/>
    <x v="0"/>
    <x v="1"/>
    <s v="Operations A"/>
  </r>
  <r>
    <s v="OP059"/>
    <s v="Customer N"/>
    <x v="3"/>
    <d v="2026-08-25T00:00:00"/>
    <x v="0"/>
    <x v="0"/>
    <n v="3"/>
    <x v="0"/>
    <x v="1"/>
    <s v="Operations B"/>
  </r>
  <r>
    <s v="OP060"/>
    <s v="Customer M"/>
    <x v="4"/>
    <d v="2026-09-12T00:00:00"/>
    <x v="0"/>
    <x v="0"/>
    <n v="1"/>
    <x v="0"/>
    <x v="1"/>
    <s v="Operations B"/>
  </r>
  <r>
    <s v="OP061"/>
    <s v="Customer A"/>
    <x v="4"/>
    <d v="2026-09-06T00:00:00"/>
    <x v="2"/>
    <x v="1"/>
    <n v="6"/>
    <x v="0"/>
    <x v="0"/>
    <s v="Quality Team"/>
  </r>
  <r>
    <s v="OP062"/>
    <s v="Customer O"/>
    <x v="1"/>
    <d v="2026-08-14T00:00:00"/>
    <x v="2"/>
    <x v="0"/>
    <n v="4"/>
    <x v="0"/>
    <x v="2"/>
    <s v="Operations C"/>
  </r>
  <r>
    <s v="OP063"/>
    <s v="Customer R"/>
    <x v="4"/>
    <d v="2026-08-02T00:00:00"/>
    <x v="0"/>
    <x v="1"/>
    <n v="4"/>
    <x v="1"/>
    <x v="0"/>
    <s v="Operations C"/>
  </r>
  <r>
    <s v="OP064"/>
    <s v="Customer A"/>
    <x v="1"/>
    <d v="2026-08-13T00:00:00"/>
    <x v="1"/>
    <x v="0"/>
    <n v="3"/>
    <x v="1"/>
    <x v="1"/>
    <s v="Operations B"/>
  </r>
  <r>
    <s v="OP065"/>
    <s v="Customer I"/>
    <x v="1"/>
    <d v="2026-08-30T00:00:00"/>
    <x v="0"/>
    <x v="0"/>
    <n v="5"/>
    <x v="1"/>
    <x v="2"/>
    <s v="Operations B"/>
  </r>
  <r>
    <s v="OP066"/>
    <s v="Customer D"/>
    <x v="3"/>
    <d v="2026-08-20T00:00:00"/>
    <x v="1"/>
    <x v="0"/>
    <n v="4"/>
    <x v="0"/>
    <x v="1"/>
    <s v="Operations A"/>
  </r>
  <r>
    <s v="OP067"/>
    <s v="Customer H"/>
    <x v="2"/>
    <d v="2026-09-14T00:00:00"/>
    <x v="1"/>
    <x v="1"/>
    <n v="9"/>
    <x v="1"/>
    <x v="0"/>
    <s v="Operations C"/>
  </r>
  <r>
    <s v="OP068"/>
    <s v="Customer R"/>
    <x v="3"/>
    <d v="2026-08-23T00:00:00"/>
    <x v="2"/>
    <x v="0"/>
    <n v="6"/>
    <x v="0"/>
    <x v="2"/>
    <s v="Operations C"/>
  </r>
  <r>
    <s v="OP069"/>
    <s v="Customer N"/>
    <x v="0"/>
    <d v="2026-08-07T00:00:00"/>
    <x v="0"/>
    <x v="0"/>
    <n v="4"/>
    <x v="0"/>
    <x v="2"/>
    <s v="Quality Team"/>
  </r>
  <r>
    <s v="OP070"/>
    <s v="Customer R"/>
    <x v="1"/>
    <d v="2026-09-21T00:00:00"/>
    <x v="0"/>
    <x v="0"/>
    <n v="6"/>
    <x v="0"/>
    <x v="2"/>
    <s v="Quality Team"/>
  </r>
  <r>
    <s v="OP071"/>
    <s v="Customer C"/>
    <x v="4"/>
    <d v="2026-09-23T00:00:00"/>
    <x v="2"/>
    <x v="0"/>
    <n v="4"/>
    <x v="0"/>
    <x v="2"/>
    <s v="Quality Team"/>
  </r>
  <r>
    <s v="OP072"/>
    <s v="Customer P"/>
    <x v="1"/>
    <d v="2026-08-02T00:00:00"/>
    <x v="2"/>
    <x v="0"/>
    <n v="7"/>
    <x v="0"/>
    <x v="2"/>
    <s v="Operations B"/>
  </r>
  <r>
    <s v="OP073"/>
    <s v="Customer I"/>
    <x v="4"/>
    <d v="2026-09-08T00:00:00"/>
    <x v="0"/>
    <x v="0"/>
    <n v="3"/>
    <x v="0"/>
    <x v="1"/>
    <s v="Operations A"/>
  </r>
  <r>
    <s v="OP074"/>
    <s v="Customer H"/>
    <x v="3"/>
    <d v="2026-09-05T00:00:00"/>
    <x v="2"/>
    <x v="0"/>
    <n v="7"/>
    <x v="0"/>
    <x v="1"/>
    <s v="Quality Team"/>
  </r>
  <r>
    <s v="OP075"/>
    <s v="Customer H"/>
    <x v="4"/>
    <d v="2026-09-14T00:00:00"/>
    <x v="0"/>
    <x v="0"/>
    <n v="3"/>
    <x v="0"/>
    <x v="2"/>
    <s v="Operations C"/>
  </r>
  <r>
    <s v="OP076"/>
    <s v="Customer I"/>
    <x v="4"/>
    <d v="2026-08-20T00:00:00"/>
    <x v="1"/>
    <x v="0"/>
    <n v="8"/>
    <x v="0"/>
    <x v="0"/>
    <s v="Operations A"/>
  </r>
  <r>
    <s v="OP077"/>
    <s v="Customer P"/>
    <x v="1"/>
    <d v="2026-08-14T00:00:00"/>
    <x v="0"/>
    <x v="0"/>
    <n v="6"/>
    <x v="0"/>
    <x v="2"/>
    <s v="Operations C"/>
  </r>
  <r>
    <s v="OP078"/>
    <s v="Customer R"/>
    <x v="0"/>
    <d v="2026-08-01T00:00:00"/>
    <x v="2"/>
    <x v="0"/>
    <n v="4"/>
    <x v="0"/>
    <x v="0"/>
    <s v="Operations C"/>
  </r>
  <r>
    <s v="OP079"/>
    <s v="Customer A"/>
    <x v="0"/>
    <d v="2026-08-07T00:00:00"/>
    <x v="3"/>
    <x v="0"/>
    <n v="6"/>
    <x v="0"/>
    <x v="1"/>
    <s v="Operations C"/>
  </r>
  <r>
    <s v="OP080"/>
    <s v="Customer P"/>
    <x v="4"/>
    <d v="2026-09-25T00:00:00"/>
    <x v="0"/>
    <x v="0"/>
    <n v="1"/>
    <x v="0"/>
    <x v="0"/>
    <s v="Operations A"/>
  </r>
  <r>
    <s v="OP081"/>
    <s v="Customer S"/>
    <x v="4"/>
    <d v="2026-08-10T00:00:00"/>
    <x v="0"/>
    <x v="0"/>
    <n v="6"/>
    <x v="0"/>
    <x v="2"/>
    <s v="Operations A"/>
  </r>
  <r>
    <s v="OP082"/>
    <s v="Customer H"/>
    <x v="1"/>
    <d v="2026-09-09T00:00:00"/>
    <x v="0"/>
    <x v="0"/>
    <n v="5"/>
    <x v="0"/>
    <x v="1"/>
    <s v="Quality Team"/>
  </r>
  <r>
    <s v="OP083"/>
    <s v="Customer S"/>
    <x v="4"/>
    <d v="2026-08-20T00:00:00"/>
    <x v="2"/>
    <x v="0"/>
    <n v="6"/>
    <x v="1"/>
    <x v="1"/>
    <s v="Operations A"/>
  </r>
  <r>
    <s v="OP084"/>
    <s v="Customer F"/>
    <x v="3"/>
    <d v="2026-08-06T00:00:00"/>
    <x v="3"/>
    <x v="0"/>
    <n v="7"/>
    <x v="0"/>
    <x v="0"/>
    <s v="Operations B"/>
  </r>
  <r>
    <s v="OP085"/>
    <s v="Customer J"/>
    <x v="3"/>
    <d v="2026-08-31T00:00:00"/>
    <x v="0"/>
    <x v="0"/>
    <n v="4"/>
    <x v="0"/>
    <x v="0"/>
    <s v="Operations B"/>
  </r>
  <r>
    <s v="OP086"/>
    <s v="Customer S"/>
    <x v="2"/>
    <d v="2026-09-20T00:00:00"/>
    <x v="1"/>
    <x v="1"/>
    <n v="10"/>
    <x v="1"/>
    <x v="1"/>
    <s v="Operations B"/>
  </r>
  <r>
    <s v="OP087"/>
    <s v="Customer E"/>
    <x v="4"/>
    <d v="2026-09-22T00:00:00"/>
    <x v="0"/>
    <x v="0"/>
    <n v="2"/>
    <x v="1"/>
    <x v="0"/>
    <s v="Operations A"/>
  </r>
  <r>
    <s v="OP088"/>
    <s v="Customer O"/>
    <x v="1"/>
    <d v="2026-08-19T00:00:00"/>
    <x v="2"/>
    <x v="0"/>
    <n v="8"/>
    <x v="0"/>
    <x v="0"/>
    <s v="Quality Team"/>
  </r>
  <r>
    <s v="OP089"/>
    <s v="Customer K"/>
    <x v="2"/>
    <d v="2026-09-17T00:00:00"/>
    <x v="1"/>
    <x v="1"/>
    <n v="10"/>
    <x v="0"/>
    <x v="1"/>
    <s v="Operations C"/>
  </r>
  <r>
    <s v="OP090"/>
    <s v="Customer I"/>
    <x v="0"/>
    <d v="2026-09-18T00:00:00"/>
    <x v="0"/>
    <x v="1"/>
    <n v="5"/>
    <x v="1"/>
    <x v="1"/>
    <s v="Operations A"/>
  </r>
  <r>
    <s v="OP091"/>
    <s v="Customer N"/>
    <x v="1"/>
    <d v="2026-09-07T00:00:00"/>
    <x v="0"/>
    <x v="0"/>
    <n v="3"/>
    <x v="0"/>
    <x v="1"/>
    <s v="Quality Team"/>
  </r>
  <r>
    <s v="OP092"/>
    <s v="Customer F"/>
    <x v="0"/>
    <d v="2026-09-24T00:00:00"/>
    <x v="0"/>
    <x v="0"/>
    <n v="3"/>
    <x v="0"/>
    <x v="2"/>
    <s v="Quality Team"/>
  </r>
  <r>
    <s v="OP093"/>
    <s v="Customer K"/>
    <x v="4"/>
    <d v="2026-08-17T00:00:00"/>
    <x v="0"/>
    <x v="1"/>
    <n v="5"/>
    <x v="1"/>
    <x v="0"/>
    <s v="Quality Team"/>
  </r>
  <r>
    <s v="OP094"/>
    <s v="Customer B"/>
    <x v="3"/>
    <d v="2026-08-27T00:00:00"/>
    <x v="2"/>
    <x v="0"/>
    <n v="8"/>
    <x v="0"/>
    <x v="0"/>
    <s v="Operations C"/>
  </r>
  <r>
    <s v="OP095"/>
    <s v="Customer R"/>
    <x v="3"/>
    <d v="2026-08-18T00:00:00"/>
    <x v="2"/>
    <x v="0"/>
    <n v="8"/>
    <x v="0"/>
    <x v="0"/>
    <s v="Operations C"/>
  </r>
  <r>
    <s v="OP096"/>
    <s v="Customer H"/>
    <x v="4"/>
    <d v="2026-09-08T00:00:00"/>
    <x v="2"/>
    <x v="0"/>
    <n v="2"/>
    <x v="1"/>
    <x v="1"/>
    <s v="Operations B"/>
  </r>
  <r>
    <s v="OP097"/>
    <s v="Customer E"/>
    <x v="2"/>
    <d v="2026-08-08T00:00:00"/>
    <x v="1"/>
    <x v="1"/>
    <n v="4"/>
    <x v="1"/>
    <x v="2"/>
    <s v="Operations C"/>
  </r>
  <r>
    <s v="OP098"/>
    <s v="Customer E"/>
    <x v="3"/>
    <d v="2026-09-05T00:00:00"/>
    <x v="1"/>
    <x v="0"/>
    <n v="10"/>
    <x v="0"/>
    <x v="2"/>
    <s v="Operations B"/>
  </r>
  <r>
    <s v="OP099"/>
    <s v="Customer K"/>
    <x v="3"/>
    <d v="2026-08-27T00:00:00"/>
    <x v="0"/>
    <x v="1"/>
    <n v="1"/>
    <x v="0"/>
    <x v="1"/>
    <s v="Operations C"/>
  </r>
  <r>
    <s v="OP100"/>
    <s v="Customer P"/>
    <x v="0"/>
    <d v="2026-09-12T00:00:00"/>
    <x v="0"/>
    <x v="0"/>
    <n v="5"/>
    <x v="0"/>
    <x v="0"/>
    <s v="Quality Team"/>
  </r>
  <r>
    <s v="OP101"/>
    <s v="Customer G"/>
    <x v="3"/>
    <d v="2026-08-21T00:00:00"/>
    <x v="0"/>
    <x v="0"/>
    <n v="5"/>
    <x v="0"/>
    <x v="1"/>
    <s v="Operations B"/>
  </r>
  <r>
    <s v="OP102"/>
    <s v="Customer M"/>
    <x v="3"/>
    <d v="2026-09-15T00:00:00"/>
    <x v="0"/>
    <x v="1"/>
    <n v="4"/>
    <x v="0"/>
    <x v="2"/>
    <s v="Operations B"/>
  </r>
  <r>
    <s v="OP103"/>
    <s v="Customer D"/>
    <x v="4"/>
    <d v="2026-08-29T00:00:00"/>
    <x v="3"/>
    <x v="0"/>
    <n v="9"/>
    <x v="0"/>
    <x v="1"/>
    <s v="Quality Team"/>
  </r>
  <r>
    <s v="OP104"/>
    <s v="Customer M"/>
    <x v="0"/>
    <d v="2026-09-09T00:00:00"/>
    <x v="1"/>
    <x v="1"/>
    <n v="5"/>
    <x v="1"/>
    <x v="1"/>
    <s v="Operations A"/>
  </r>
  <r>
    <s v="OP105"/>
    <s v="Customer P"/>
    <x v="2"/>
    <d v="2026-09-18T00:00:00"/>
    <x v="2"/>
    <x v="1"/>
    <n v="5"/>
    <x v="1"/>
    <x v="1"/>
    <s v="Operations A"/>
  </r>
  <r>
    <s v="OP106"/>
    <s v="Customer C"/>
    <x v="3"/>
    <d v="2026-09-17T00:00:00"/>
    <x v="0"/>
    <x v="0"/>
    <n v="3"/>
    <x v="1"/>
    <x v="2"/>
    <s v="Operations A"/>
  </r>
  <r>
    <s v="OP107"/>
    <s v="Customer B"/>
    <x v="0"/>
    <d v="2026-09-20T00:00:00"/>
    <x v="0"/>
    <x v="0"/>
    <n v="1"/>
    <x v="0"/>
    <x v="2"/>
    <s v="Operations C"/>
  </r>
  <r>
    <s v="OP108"/>
    <s v="Customer F"/>
    <x v="2"/>
    <d v="2026-09-20T00:00:00"/>
    <x v="0"/>
    <x v="0"/>
    <n v="4"/>
    <x v="0"/>
    <x v="0"/>
    <s v="Operations B"/>
  </r>
  <r>
    <s v="OP109"/>
    <s v="Customer O"/>
    <x v="0"/>
    <d v="2026-08-15T00:00:00"/>
    <x v="1"/>
    <x v="0"/>
    <n v="6"/>
    <x v="0"/>
    <x v="1"/>
    <s v="Operations C"/>
  </r>
  <r>
    <s v="OP110"/>
    <s v="Customer R"/>
    <x v="4"/>
    <d v="2026-09-13T00:00:00"/>
    <x v="0"/>
    <x v="0"/>
    <n v="4"/>
    <x v="1"/>
    <x v="0"/>
    <s v="Operations A"/>
  </r>
  <r>
    <s v="OP111"/>
    <s v="Customer O"/>
    <x v="4"/>
    <d v="2026-08-17T00:00:00"/>
    <x v="2"/>
    <x v="1"/>
    <n v="4"/>
    <x v="0"/>
    <x v="2"/>
    <s v="Operations B"/>
  </r>
  <r>
    <s v="OP112"/>
    <s v="Customer J"/>
    <x v="4"/>
    <d v="2026-09-06T00:00:00"/>
    <x v="2"/>
    <x v="0"/>
    <n v="5"/>
    <x v="0"/>
    <x v="1"/>
    <s v="Operations C"/>
  </r>
  <r>
    <s v="OP113"/>
    <s v="Customer T"/>
    <x v="0"/>
    <d v="2026-08-04T00:00:00"/>
    <x v="3"/>
    <x v="1"/>
    <n v="8"/>
    <x v="0"/>
    <x v="1"/>
    <s v="Quality Team"/>
  </r>
  <r>
    <s v="OP114"/>
    <s v="Customer G"/>
    <x v="2"/>
    <d v="2026-09-10T00:00:00"/>
    <x v="2"/>
    <x v="0"/>
    <n v="8"/>
    <x v="0"/>
    <x v="1"/>
    <s v="Operations C"/>
  </r>
  <r>
    <s v="OP115"/>
    <s v="Customer E"/>
    <x v="1"/>
    <d v="2026-09-16T00:00:00"/>
    <x v="1"/>
    <x v="1"/>
    <n v="3"/>
    <x v="0"/>
    <x v="0"/>
    <s v="Operations C"/>
  </r>
  <r>
    <s v="OP116"/>
    <s v="Customer Q"/>
    <x v="2"/>
    <d v="2026-08-24T00:00:00"/>
    <x v="2"/>
    <x v="0"/>
    <n v="3"/>
    <x v="0"/>
    <x v="1"/>
    <s v="Operations C"/>
  </r>
  <r>
    <s v="OP117"/>
    <s v="Customer K"/>
    <x v="1"/>
    <d v="2026-09-25T00:00:00"/>
    <x v="0"/>
    <x v="1"/>
    <n v="4"/>
    <x v="1"/>
    <x v="0"/>
    <s v="Quality Team"/>
  </r>
  <r>
    <s v="OP118"/>
    <s v="Customer R"/>
    <x v="0"/>
    <d v="2026-09-24T00:00:00"/>
    <x v="0"/>
    <x v="1"/>
    <n v="6"/>
    <x v="0"/>
    <x v="2"/>
    <s v="Operations A"/>
  </r>
  <r>
    <s v="OP119"/>
    <s v="Customer I"/>
    <x v="4"/>
    <d v="2026-09-17T00:00:00"/>
    <x v="0"/>
    <x v="0"/>
    <n v="4"/>
    <x v="0"/>
    <x v="1"/>
    <s v="Quality Team"/>
  </r>
  <r>
    <s v="OP120"/>
    <s v="Customer K"/>
    <x v="2"/>
    <d v="2026-09-05T00:00:00"/>
    <x v="0"/>
    <x v="0"/>
    <n v="1"/>
    <x v="0"/>
    <x v="1"/>
    <s v="Operations B"/>
  </r>
  <r>
    <s v="OP121"/>
    <s v="Customer B"/>
    <x v="0"/>
    <d v="2026-08-03T00:00:00"/>
    <x v="1"/>
    <x v="0"/>
    <n v="7"/>
    <x v="0"/>
    <x v="2"/>
    <s v="Quality Team"/>
  </r>
  <r>
    <s v="OP122"/>
    <s v="Customer R"/>
    <x v="0"/>
    <d v="2026-09-17T00:00:00"/>
    <x v="0"/>
    <x v="1"/>
    <n v="2"/>
    <x v="0"/>
    <x v="2"/>
    <s v="Operations B"/>
  </r>
  <r>
    <s v="OP123"/>
    <s v="Customer O"/>
    <x v="4"/>
    <d v="2026-08-14T00:00:00"/>
    <x v="1"/>
    <x v="1"/>
    <n v="9"/>
    <x v="0"/>
    <x v="2"/>
    <s v="Operations B"/>
  </r>
  <r>
    <s v="OP124"/>
    <s v="Customer L"/>
    <x v="2"/>
    <d v="2026-09-11T00:00:00"/>
    <x v="0"/>
    <x v="0"/>
    <n v="5"/>
    <x v="1"/>
    <x v="0"/>
    <s v="Quality Team"/>
  </r>
  <r>
    <s v="OP125"/>
    <s v="Customer T"/>
    <x v="2"/>
    <d v="2026-08-14T00:00:00"/>
    <x v="0"/>
    <x v="0"/>
    <n v="4"/>
    <x v="0"/>
    <x v="0"/>
    <s v="Operations A"/>
  </r>
  <r>
    <s v="OP126"/>
    <s v="Customer R"/>
    <x v="2"/>
    <d v="2026-09-23T00:00:00"/>
    <x v="0"/>
    <x v="0"/>
    <n v="5"/>
    <x v="0"/>
    <x v="0"/>
    <s v="Operations B"/>
  </r>
  <r>
    <s v="OP127"/>
    <s v="Customer E"/>
    <x v="1"/>
    <d v="2026-09-24T00:00:00"/>
    <x v="0"/>
    <x v="0"/>
    <n v="5"/>
    <x v="0"/>
    <x v="0"/>
    <s v="Operations C"/>
  </r>
  <r>
    <s v="OP128"/>
    <s v="Customer S"/>
    <x v="1"/>
    <d v="2026-08-16T00:00:00"/>
    <x v="0"/>
    <x v="1"/>
    <n v="2"/>
    <x v="0"/>
    <x v="2"/>
    <s v="Operations A"/>
  </r>
  <r>
    <s v="OP129"/>
    <s v="Customer C"/>
    <x v="1"/>
    <d v="2026-09-17T00:00:00"/>
    <x v="0"/>
    <x v="0"/>
    <n v="4"/>
    <x v="0"/>
    <x v="2"/>
    <s v="Quality Team"/>
  </r>
  <r>
    <s v="OP130"/>
    <s v="Customer B"/>
    <x v="2"/>
    <d v="2026-09-09T00:00:00"/>
    <x v="0"/>
    <x v="0"/>
    <n v="5"/>
    <x v="0"/>
    <x v="1"/>
    <s v="Operations C"/>
  </r>
  <r>
    <s v="OP131"/>
    <s v="Customer P"/>
    <x v="4"/>
    <d v="2026-08-07T00:00:00"/>
    <x v="1"/>
    <x v="0"/>
    <n v="10"/>
    <x v="0"/>
    <x v="1"/>
    <s v="Quality Team"/>
  </r>
  <r>
    <s v="OP132"/>
    <s v="Customer T"/>
    <x v="0"/>
    <d v="2026-08-18T00:00:00"/>
    <x v="2"/>
    <x v="0"/>
    <n v="3"/>
    <x v="0"/>
    <x v="1"/>
    <s v="Operations C"/>
  </r>
  <r>
    <s v="OP133"/>
    <s v="Customer D"/>
    <x v="4"/>
    <d v="2026-09-20T00:00:00"/>
    <x v="3"/>
    <x v="0"/>
    <n v="11"/>
    <x v="0"/>
    <x v="1"/>
    <s v="Operations B"/>
  </r>
  <r>
    <s v="OP134"/>
    <s v="Customer N"/>
    <x v="4"/>
    <d v="2026-08-26T00:00:00"/>
    <x v="0"/>
    <x v="0"/>
    <n v="3"/>
    <x v="0"/>
    <x v="1"/>
    <s v="Operations A"/>
  </r>
  <r>
    <s v="OP135"/>
    <s v="Customer P"/>
    <x v="2"/>
    <d v="2026-09-13T00:00:00"/>
    <x v="0"/>
    <x v="0"/>
    <n v="3"/>
    <x v="1"/>
    <x v="0"/>
    <s v="Operations A"/>
  </r>
  <r>
    <s v="OP136"/>
    <s v="Customer R"/>
    <x v="0"/>
    <d v="2026-08-09T00:00:00"/>
    <x v="0"/>
    <x v="0"/>
    <n v="6"/>
    <x v="0"/>
    <x v="0"/>
    <s v="Operations C"/>
  </r>
  <r>
    <s v="OP137"/>
    <s v="Customer T"/>
    <x v="0"/>
    <d v="2026-08-19T00:00:00"/>
    <x v="0"/>
    <x v="1"/>
    <n v="4"/>
    <x v="0"/>
    <x v="2"/>
    <s v="Operations C"/>
  </r>
  <r>
    <s v="OP138"/>
    <s v="Customer D"/>
    <x v="0"/>
    <d v="2026-08-24T00:00:00"/>
    <x v="1"/>
    <x v="1"/>
    <n v="10"/>
    <x v="0"/>
    <x v="2"/>
    <s v="Operations B"/>
  </r>
  <r>
    <s v="OP139"/>
    <s v="Customer A"/>
    <x v="4"/>
    <d v="2026-09-05T00:00:00"/>
    <x v="2"/>
    <x v="1"/>
    <n v="8"/>
    <x v="0"/>
    <x v="1"/>
    <s v="Operations C"/>
  </r>
  <r>
    <s v="OP140"/>
    <s v="Customer A"/>
    <x v="0"/>
    <d v="2026-08-23T00:00:00"/>
    <x v="0"/>
    <x v="0"/>
    <n v="3"/>
    <x v="1"/>
    <x v="0"/>
    <s v="Operations B"/>
  </r>
  <r>
    <s v="OP141"/>
    <s v="Customer K"/>
    <x v="3"/>
    <d v="2026-08-30T00:00:00"/>
    <x v="1"/>
    <x v="1"/>
    <n v="3"/>
    <x v="0"/>
    <x v="0"/>
    <s v="Operations C"/>
  </r>
  <r>
    <s v="OP142"/>
    <s v="Customer T"/>
    <x v="2"/>
    <d v="2026-09-18T00:00:00"/>
    <x v="1"/>
    <x v="0"/>
    <n v="4"/>
    <x v="0"/>
    <x v="0"/>
    <s v="Operations A"/>
  </r>
  <r>
    <s v="OP143"/>
    <s v="Customer G"/>
    <x v="2"/>
    <d v="2026-08-18T00:00:00"/>
    <x v="0"/>
    <x v="0"/>
    <n v="5"/>
    <x v="0"/>
    <x v="1"/>
    <s v="Operations A"/>
  </r>
  <r>
    <s v="OP144"/>
    <s v="Customer J"/>
    <x v="2"/>
    <d v="2026-09-03T00:00:00"/>
    <x v="0"/>
    <x v="0"/>
    <n v="6"/>
    <x v="0"/>
    <x v="0"/>
    <s v="Operations B"/>
  </r>
  <r>
    <s v="OP145"/>
    <s v="Customer J"/>
    <x v="4"/>
    <d v="2026-08-17T00:00:00"/>
    <x v="3"/>
    <x v="1"/>
    <n v="7"/>
    <x v="1"/>
    <x v="2"/>
    <s v="Operations A"/>
  </r>
  <r>
    <s v="OP146"/>
    <s v="Customer H"/>
    <x v="0"/>
    <d v="2026-09-15T00:00:00"/>
    <x v="0"/>
    <x v="0"/>
    <n v="2"/>
    <x v="0"/>
    <x v="1"/>
    <s v="Operations C"/>
  </r>
  <r>
    <s v="OP147"/>
    <s v="Customer K"/>
    <x v="0"/>
    <d v="2026-08-05T00:00:00"/>
    <x v="0"/>
    <x v="0"/>
    <n v="4"/>
    <x v="0"/>
    <x v="1"/>
    <s v="Quality Team"/>
  </r>
  <r>
    <s v="OP148"/>
    <s v="Customer K"/>
    <x v="3"/>
    <d v="2026-08-02T00:00:00"/>
    <x v="0"/>
    <x v="0"/>
    <n v="3"/>
    <x v="0"/>
    <x v="0"/>
    <s v="Quality Team"/>
  </r>
  <r>
    <s v="OP149"/>
    <s v="Customer M"/>
    <x v="2"/>
    <d v="2026-08-06T00:00:00"/>
    <x v="0"/>
    <x v="1"/>
    <n v="2"/>
    <x v="0"/>
    <x v="2"/>
    <s v="Operations C"/>
  </r>
  <r>
    <s v="OP150"/>
    <s v="Customer Q"/>
    <x v="1"/>
    <d v="2026-09-03T00:00:00"/>
    <x v="0"/>
    <x v="0"/>
    <n v="5"/>
    <x v="0"/>
    <x v="0"/>
    <s v="Operations C"/>
  </r>
  <r>
    <s v="OP151"/>
    <s v="Customer E"/>
    <x v="2"/>
    <d v="2026-09-08T00:00:00"/>
    <x v="1"/>
    <x v="1"/>
    <n v="5"/>
    <x v="1"/>
    <x v="1"/>
    <s v="Operations A"/>
  </r>
  <r>
    <s v="OP152"/>
    <s v="Customer S"/>
    <x v="1"/>
    <d v="2026-08-29T00:00:00"/>
    <x v="3"/>
    <x v="0"/>
    <n v="11"/>
    <x v="0"/>
    <x v="1"/>
    <s v="Operations C"/>
  </r>
  <r>
    <s v="OP153"/>
    <s v="Customer I"/>
    <x v="2"/>
    <d v="2026-09-20T00:00:00"/>
    <x v="0"/>
    <x v="0"/>
    <n v="4"/>
    <x v="0"/>
    <x v="1"/>
    <s v="Operations A"/>
  </r>
  <r>
    <s v="OP154"/>
    <s v="Customer J"/>
    <x v="2"/>
    <d v="2026-08-24T00:00:00"/>
    <x v="0"/>
    <x v="0"/>
    <n v="4"/>
    <x v="0"/>
    <x v="0"/>
    <s v="Operations A"/>
  </r>
  <r>
    <s v="OP155"/>
    <s v="Customer G"/>
    <x v="3"/>
    <d v="2026-09-11T00:00:00"/>
    <x v="1"/>
    <x v="0"/>
    <n v="3"/>
    <x v="0"/>
    <x v="2"/>
    <s v="Quality Team"/>
  </r>
  <r>
    <s v="OP156"/>
    <s v="Customer K"/>
    <x v="3"/>
    <d v="2026-09-23T00:00:00"/>
    <x v="0"/>
    <x v="0"/>
    <n v="1"/>
    <x v="0"/>
    <x v="1"/>
    <s v="Operations A"/>
  </r>
  <r>
    <s v="OP157"/>
    <s v="Customer F"/>
    <x v="3"/>
    <d v="2026-09-09T00:00:00"/>
    <x v="1"/>
    <x v="0"/>
    <n v="10"/>
    <x v="0"/>
    <x v="2"/>
    <s v="Operations C"/>
  </r>
  <r>
    <s v="OP158"/>
    <s v="Customer K"/>
    <x v="2"/>
    <d v="2026-09-20T00:00:00"/>
    <x v="0"/>
    <x v="0"/>
    <n v="6"/>
    <x v="0"/>
    <x v="0"/>
    <s v="Operations C"/>
  </r>
  <r>
    <s v="OP159"/>
    <s v="Customer E"/>
    <x v="0"/>
    <d v="2026-09-08T00:00:00"/>
    <x v="1"/>
    <x v="0"/>
    <n v="7"/>
    <x v="0"/>
    <x v="2"/>
    <s v="Operations A"/>
  </r>
  <r>
    <s v="OP160"/>
    <s v="Customer C"/>
    <x v="3"/>
    <d v="2026-09-08T00:00:00"/>
    <x v="1"/>
    <x v="1"/>
    <n v="7"/>
    <x v="0"/>
    <x v="2"/>
    <s v="Quality Team"/>
  </r>
  <r>
    <s v="OP161"/>
    <s v="Customer Q"/>
    <x v="2"/>
    <d v="2026-09-13T00:00:00"/>
    <x v="2"/>
    <x v="0"/>
    <n v="8"/>
    <x v="1"/>
    <x v="0"/>
    <s v="Quality Team"/>
  </r>
  <r>
    <s v="OP162"/>
    <s v="Customer P"/>
    <x v="3"/>
    <d v="2026-08-22T00:00:00"/>
    <x v="0"/>
    <x v="0"/>
    <n v="2"/>
    <x v="1"/>
    <x v="0"/>
    <s v="Operations B"/>
  </r>
  <r>
    <s v="OP163"/>
    <s v="Customer Q"/>
    <x v="1"/>
    <d v="2026-09-04T00:00:00"/>
    <x v="0"/>
    <x v="0"/>
    <n v="1"/>
    <x v="0"/>
    <x v="0"/>
    <s v="Operations C"/>
  </r>
  <r>
    <s v="OP164"/>
    <s v="Customer T"/>
    <x v="3"/>
    <d v="2026-09-14T00:00:00"/>
    <x v="0"/>
    <x v="0"/>
    <n v="2"/>
    <x v="0"/>
    <x v="0"/>
    <s v="Quality Team"/>
  </r>
  <r>
    <s v="OP165"/>
    <s v="Customer J"/>
    <x v="0"/>
    <d v="2026-09-09T00:00:00"/>
    <x v="0"/>
    <x v="0"/>
    <n v="2"/>
    <x v="1"/>
    <x v="1"/>
    <s v="Quality Team"/>
  </r>
  <r>
    <s v="OP166"/>
    <s v="Customer L"/>
    <x v="1"/>
    <d v="2026-08-13T00:00:00"/>
    <x v="0"/>
    <x v="0"/>
    <n v="4"/>
    <x v="1"/>
    <x v="1"/>
    <s v="Quality Team"/>
  </r>
  <r>
    <s v="OP167"/>
    <s v="Customer G"/>
    <x v="4"/>
    <d v="2026-08-11T00:00:00"/>
    <x v="2"/>
    <x v="0"/>
    <n v="6"/>
    <x v="0"/>
    <x v="1"/>
    <s v="Operations B"/>
  </r>
  <r>
    <s v="OP168"/>
    <s v="Customer Q"/>
    <x v="2"/>
    <d v="2026-08-07T00:00:00"/>
    <x v="0"/>
    <x v="0"/>
    <n v="3"/>
    <x v="0"/>
    <x v="0"/>
    <s v="Operations C"/>
  </r>
  <r>
    <s v="OP169"/>
    <s v="Customer C"/>
    <x v="0"/>
    <d v="2026-08-28T00:00:00"/>
    <x v="2"/>
    <x v="0"/>
    <n v="6"/>
    <x v="0"/>
    <x v="0"/>
    <s v="Quality Team"/>
  </r>
  <r>
    <s v="OP170"/>
    <s v="Customer M"/>
    <x v="2"/>
    <d v="2026-08-16T00:00:00"/>
    <x v="2"/>
    <x v="0"/>
    <n v="5"/>
    <x v="0"/>
    <x v="0"/>
    <s v="Operations C"/>
  </r>
  <r>
    <s v="OP171"/>
    <s v="Customer B"/>
    <x v="1"/>
    <d v="2026-08-09T00:00:00"/>
    <x v="0"/>
    <x v="1"/>
    <n v="6"/>
    <x v="0"/>
    <x v="2"/>
    <s v="Quality Team"/>
  </r>
  <r>
    <s v="OP172"/>
    <s v="Customer A"/>
    <x v="1"/>
    <d v="2026-08-06T00:00:00"/>
    <x v="2"/>
    <x v="0"/>
    <n v="6"/>
    <x v="0"/>
    <x v="2"/>
    <s v="Operations B"/>
  </r>
  <r>
    <s v="OP173"/>
    <s v="Customer J"/>
    <x v="1"/>
    <d v="2026-09-19T00:00:00"/>
    <x v="0"/>
    <x v="0"/>
    <n v="5"/>
    <x v="0"/>
    <x v="0"/>
    <s v="Operations C"/>
  </r>
  <r>
    <s v="OP174"/>
    <s v="Customer P"/>
    <x v="0"/>
    <d v="2026-08-08T00:00:00"/>
    <x v="0"/>
    <x v="0"/>
    <n v="5"/>
    <x v="0"/>
    <x v="1"/>
    <s v="Operations A"/>
  </r>
  <r>
    <s v="OP175"/>
    <s v="Customer S"/>
    <x v="3"/>
    <d v="2026-08-16T00:00:00"/>
    <x v="1"/>
    <x v="0"/>
    <n v="7"/>
    <x v="0"/>
    <x v="2"/>
    <s v="Operations B"/>
  </r>
  <r>
    <s v="OP176"/>
    <s v="Customer Q"/>
    <x v="0"/>
    <d v="2026-09-20T00:00:00"/>
    <x v="0"/>
    <x v="0"/>
    <n v="5"/>
    <x v="0"/>
    <x v="1"/>
    <s v="Operations A"/>
  </r>
  <r>
    <s v="OP177"/>
    <s v="Customer A"/>
    <x v="4"/>
    <d v="2026-08-17T00:00:00"/>
    <x v="2"/>
    <x v="0"/>
    <n v="5"/>
    <x v="1"/>
    <x v="2"/>
    <s v="Operations A"/>
  </r>
  <r>
    <s v="OP178"/>
    <s v="Customer K"/>
    <x v="2"/>
    <d v="2026-09-17T00:00:00"/>
    <x v="0"/>
    <x v="0"/>
    <n v="1"/>
    <x v="0"/>
    <x v="0"/>
    <s v="Operations A"/>
  </r>
  <r>
    <s v="OP179"/>
    <s v="Customer O"/>
    <x v="2"/>
    <d v="2026-09-13T00:00:00"/>
    <x v="0"/>
    <x v="0"/>
    <n v="2"/>
    <x v="0"/>
    <x v="1"/>
    <s v="Quality Team"/>
  </r>
  <r>
    <s v="OP180"/>
    <s v="Customer J"/>
    <x v="1"/>
    <d v="2026-08-03T00:00:00"/>
    <x v="2"/>
    <x v="0"/>
    <n v="8"/>
    <x v="1"/>
    <x v="0"/>
    <s v="Operations A"/>
  </r>
  <r>
    <s v="OP181"/>
    <s v="Customer R"/>
    <x v="1"/>
    <d v="2026-09-22T00:00:00"/>
    <x v="2"/>
    <x v="0"/>
    <n v="4"/>
    <x v="0"/>
    <x v="2"/>
    <s v="Operations C"/>
  </r>
  <r>
    <s v="OP182"/>
    <s v="Customer K"/>
    <x v="0"/>
    <d v="2026-08-04T00:00:00"/>
    <x v="2"/>
    <x v="0"/>
    <n v="4"/>
    <x v="0"/>
    <x v="2"/>
    <s v="Operations A"/>
  </r>
  <r>
    <s v="OP183"/>
    <s v="Customer K"/>
    <x v="2"/>
    <d v="2026-08-25T00:00:00"/>
    <x v="0"/>
    <x v="0"/>
    <n v="4"/>
    <x v="1"/>
    <x v="0"/>
    <s v="Quality Team"/>
  </r>
  <r>
    <s v="OP184"/>
    <s v="Customer N"/>
    <x v="4"/>
    <d v="2026-09-16T00:00:00"/>
    <x v="0"/>
    <x v="0"/>
    <n v="3"/>
    <x v="0"/>
    <x v="0"/>
    <s v="Quality Team"/>
  </r>
  <r>
    <s v="OP185"/>
    <s v="Customer O"/>
    <x v="3"/>
    <d v="2026-08-20T00:00:00"/>
    <x v="3"/>
    <x v="1"/>
    <n v="8"/>
    <x v="0"/>
    <x v="1"/>
    <s v="Quality Team"/>
  </r>
  <r>
    <s v="OP186"/>
    <s v="Customer N"/>
    <x v="1"/>
    <d v="2026-09-09T00:00:00"/>
    <x v="1"/>
    <x v="0"/>
    <n v="3"/>
    <x v="1"/>
    <x v="2"/>
    <s v="Operations A"/>
  </r>
  <r>
    <s v="OP187"/>
    <s v="Customer O"/>
    <x v="0"/>
    <d v="2026-09-08T00:00:00"/>
    <x v="1"/>
    <x v="0"/>
    <n v="5"/>
    <x v="0"/>
    <x v="0"/>
    <s v="Operations B"/>
  </r>
  <r>
    <s v="OP188"/>
    <s v="Customer B"/>
    <x v="0"/>
    <d v="2026-09-06T00:00:00"/>
    <x v="0"/>
    <x v="0"/>
    <n v="3"/>
    <x v="0"/>
    <x v="1"/>
    <s v="Operations B"/>
  </r>
  <r>
    <s v="OP189"/>
    <s v="Customer Q"/>
    <x v="4"/>
    <d v="2026-08-09T00:00:00"/>
    <x v="2"/>
    <x v="0"/>
    <n v="8"/>
    <x v="0"/>
    <x v="2"/>
    <s v="Quality Team"/>
  </r>
  <r>
    <s v="OP190"/>
    <s v="Customer D"/>
    <x v="2"/>
    <d v="2026-09-05T00:00:00"/>
    <x v="1"/>
    <x v="1"/>
    <n v="4"/>
    <x v="0"/>
    <x v="2"/>
    <s v="Operations C"/>
  </r>
  <r>
    <s v="OP191"/>
    <s v="Customer G"/>
    <x v="4"/>
    <d v="2026-09-01T00:00:00"/>
    <x v="0"/>
    <x v="0"/>
    <n v="6"/>
    <x v="1"/>
    <x v="0"/>
    <s v="Operations B"/>
  </r>
  <r>
    <s v="OP192"/>
    <s v="Customer K"/>
    <x v="0"/>
    <d v="2026-09-24T00:00:00"/>
    <x v="0"/>
    <x v="1"/>
    <n v="4"/>
    <x v="1"/>
    <x v="1"/>
    <s v="Operations C"/>
  </r>
  <r>
    <s v="OP193"/>
    <s v="Customer F"/>
    <x v="0"/>
    <d v="2026-09-15T00:00:00"/>
    <x v="0"/>
    <x v="0"/>
    <n v="3"/>
    <x v="0"/>
    <x v="2"/>
    <s v="Operations B"/>
  </r>
  <r>
    <s v="OP194"/>
    <s v="Customer S"/>
    <x v="0"/>
    <d v="2026-09-05T00:00:00"/>
    <x v="3"/>
    <x v="0"/>
    <n v="7"/>
    <x v="0"/>
    <x v="2"/>
    <s v="Quality Team"/>
  </r>
  <r>
    <s v="OP195"/>
    <s v="Customer P"/>
    <x v="3"/>
    <d v="2026-09-16T00:00:00"/>
    <x v="0"/>
    <x v="1"/>
    <n v="1"/>
    <x v="0"/>
    <x v="1"/>
    <s v="Quality Team"/>
  </r>
  <r>
    <s v="OP196"/>
    <s v="Customer O"/>
    <x v="4"/>
    <d v="2026-08-29T00:00:00"/>
    <x v="2"/>
    <x v="0"/>
    <n v="4"/>
    <x v="0"/>
    <x v="1"/>
    <s v="Operations C"/>
  </r>
  <r>
    <s v="OP197"/>
    <s v="Customer E"/>
    <x v="1"/>
    <d v="2026-09-19T00:00:00"/>
    <x v="2"/>
    <x v="0"/>
    <n v="7"/>
    <x v="0"/>
    <x v="2"/>
    <s v="Operations A"/>
  </r>
  <r>
    <s v="OP198"/>
    <s v="Customer H"/>
    <x v="0"/>
    <d v="2026-09-15T00:00:00"/>
    <x v="0"/>
    <x v="0"/>
    <n v="2"/>
    <x v="0"/>
    <x v="2"/>
    <s v="Operations C"/>
  </r>
  <r>
    <s v="OP199"/>
    <s v="Customer J"/>
    <x v="0"/>
    <d v="2026-09-10T00:00:00"/>
    <x v="0"/>
    <x v="0"/>
    <n v="5"/>
    <x v="0"/>
    <x v="1"/>
    <s v="Operations A"/>
  </r>
  <r>
    <s v="OP200"/>
    <s v="Customer S"/>
    <x v="3"/>
    <d v="2026-08-22T00:00:00"/>
    <x v="1"/>
    <x v="1"/>
    <n v="5"/>
    <x v="0"/>
    <x v="0"/>
    <s v="Operations 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7E126-DA87-4D6E-B8A6-CC03E721203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0">
    <pivotField dataField="1" showAll="0"/>
    <pivotField showAll="0"/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cord_ID" fld="0" subtotal="count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D766-AE51-4C4E-8602-20A568A6B9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6" firstHeaderRow="1" firstDataRow="1" firstDataCol="1"/>
  <pivotFields count="10">
    <pivotField dataField="1" showAll="0"/>
    <pivotField showAll="0"/>
    <pivotField showAll="0"/>
    <pivotField numFmtId="164"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Record_ID" fld="0" subtotal="count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E0AFD-EA88-4A3C-A21C-F64D7F8B0B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 rowPageCount="1" colPageCount="1"/>
  <pivotFields count="10">
    <pivotField dataField="1" showAll="0"/>
    <pivotField showAll="0"/>
    <pivotField showAll="0"/>
    <pivotField numFmtId="164" showAll="0"/>
    <pivotField axis="axisPage" multipleItemSelectionAllowed="1" showAll="0">
      <items count="5">
        <item h="1" x="0"/>
        <item h="1" x="2"/>
        <item h="1" x="3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Count of Record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31C95-D42F-4043-99E6-13E4006EE1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10">
    <pivotField dataField="1"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cord_ID" fld="0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DA4C4-B525-47DD-A407-EAA14C276F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0">
    <pivotField dataField="1" showAll="0"/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cord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8E5DD-D46A-4EDA-BD72-96B7B680A985}" name="OperationsData" displayName="OperationsData" ref="A1:J201" totalsRowShown="0" headerRowDxfId="3" headerRowBorderDxfId="2" tableBorderDxfId="1">
  <autoFilter ref="A1:J201" xr:uid="{A3C8E5DD-D46A-4EDA-BD72-96B7B680A985}"/>
  <tableColumns count="10">
    <tableColumn id="1" xr3:uid="{B3C02CEA-2AE4-45A9-B6F1-B110E2C748DF}" name="Record_ID"/>
    <tableColumn id="2" xr3:uid="{C03670B1-48BE-4A65-A717-46F9FDB44DDF}" name="Customer"/>
    <tableColumn id="3" xr3:uid="{CCF7C7F2-9B83-481D-BEA4-5AA233B696AF}" name="Process_Type"/>
    <tableColumn id="4" xr3:uid="{37B91F90-2CB5-4B33-A7C9-3C4BAEC93B44}" name="Received_Date" dataDxfId="0"/>
    <tableColumn id="5" xr3:uid="{4FA35B6B-6CD7-49F2-AAA1-0887452078DF}" name="Status"/>
    <tableColumn id="6" xr3:uid="{867AC8A5-6000-4E81-A89D-D86DD3BFFD15}" name="Missing_Info"/>
    <tableColumn id="7" xr3:uid="{4A97A413-286E-420C-B7DB-744689C2FAF1}" name="Processing_Days"/>
    <tableColumn id="8" xr3:uid="{670D84F2-33FC-4AFF-90B5-CBDA6C350828}" name="Accuracy_Check"/>
    <tableColumn id="9" xr3:uid="{3F936007-063F-4C3F-880F-D853E5C55AAB}" name="Priority"/>
    <tableColumn id="10" xr3:uid="{0E0FFF77-D2DF-41CE-B9F3-F92C03FD023D}" name="Assigned_Tea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A5BD-19B3-45C1-AA10-648796F09DEC}">
  <dimension ref="A3:B6"/>
  <sheetViews>
    <sheetView workbookViewId="0">
      <selection activeCell="M12" sqref="M12"/>
    </sheetView>
  </sheetViews>
  <sheetFormatPr defaultRowHeight="14.4"/>
  <cols>
    <col min="1" max="1" width="12.5546875" bestFit="1" customWidth="1"/>
    <col min="2" max="2" width="17.6640625" bestFit="1" customWidth="1"/>
  </cols>
  <sheetData>
    <row r="3" spans="1:2">
      <c r="A3" s="3" t="s">
        <v>250</v>
      </c>
      <c r="B3" t="s">
        <v>252</v>
      </c>
    </row>
    <row r="4" spans="1:2">
      <c r="A4" s="4" t="s">
        <v>239</v>
      </c>
      <c r="B4">
        <v>145</v>
      </c>
    </row>
    <row r="5" spans="1:2">
      <c r="A5" s="4" t="s">
        <v>240</v>
      </c>
      <c r="B5">
        <v>55</v>
      </c>
    </row>
    <row r="6" spans="1:2">
      <c r="A6" s="4" t="s">
        <v>251</v>
      </c>
      <c r="B6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opLeftCell="A95" workbookViewId="0">
      <selection activeCell="D119" sqref="D119"/>
    </sheetView>
  </sheetViews>
  <sheetFormatPr defaultRowHeight="14.4"/>
  <cols>
    <col min="1" max="1" width="11.5546875" customWidth="1"/>
    <col min="2" max="2" width="11" bestFit="1" customWidth="1"/>
    <col min="3" max="3" width="16.5546875" bestFit="1" customWidth="1"/>
    <col min="4" max="4" width="15.33203125" customWidth="1"/>
    <col min="5" max="5" width="9.88671875" bestFit="1" customWidth="1"/>
    <col min="6" max="6" width="13.6640625" customWidth="1"/>
    <col min="7" max="7" width="16.77734375" customWidth="1"/>
    <col min="8" max="8" width="16.6640625" customWidth="1"/>
    <col min="9" max="9" width="9" customWidth="1"/>
    <col min="10" max="10" width="16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210</v>
      </c>
      <c r="C2" t="s">
        <v>230</v>
      </c>
      <c r="D2" s="1">
        <v>46241</v>
      </c>
      <c r="E2" t="s">
        <v>235</v>
      </c>
      <c r="F2" t="s">
        <v>239</v>
      </c>
      <c r="G2">
        <v>2</v>
      </c>
      <c r="H2" t="s">
        <v>241</v>
      </c>
      <c r="I2" t="s">
        <v>243</v>
      </c>
      <c r="J2" t="s">
        <v>246</v>
      </c>
    </row>
    <row r="3" spans="1:10">
      <c r="A3" t="s">
        <v>11</v>
      </c>
      <c r="B3" t="s">
        <v>211</v>
      </c>
      <c r="C3" t="s">
        <v>230</v>
      </c>
      <c r="D3" s="1">
        <v>46270</v>
      </c>
      <c r="E3" t="s">
        <v>235</v>
      </c>
      <c r="F3" t="s">
        <v>239</v>
      </c>
      <c r="G3">
        <v>5</v>
      </c>
      <c r="H3" t="s">
        <v>241</v>
      </c>
      <c r="I3" t="s">
        <v>244</v>
      </c>
      <c r="J3" t="s">
        <v>246</v>
      </c>
    </row>
    <row r="4" spans="1:10">
      <c r="A4" t="s">
        <v>12</v>
      </c>
      <c r="B4" t="s">
        <v>212</v>
      </c>
      <c r="C4" t="s">
        <v>231</v>
      </c>
      <c r="D4" s="1">
        <v>46245</v>
      </c>
      <c r="E4" t="s">
        <v>235</v>
      </c>
      <c r="F4" t="s">
        <v>239</v>
      </c>
      <c r="G4">
        <v>1</v>
      </c>
      <c r="H4" t="s">
        <v>241</v>
      </c>
      <c r="I4" t="s">
        <v>245</v>
      </c>
      <c r="J4" t="s">
        <v>247</v>
      </c>
    </row>
    <row r="5" spans="1:10">
      <c r="A5" t="s">
        <v>13</v>
      </c>
      <c r="B5" t="s">
        <v>213</v>
      </c>
      <c r="C5" t="s">
        <v>231</v>
      </c>
      <c r="D5" s="1">
        <v>46241</v>
      </c>
      <c r="E5" t="s">
        <v>235</v>
      </c>
      <c r="F5" t="s">
        <v>239</v>
      </c>
      <c r="G5">
        <v>1</v>
      </c>
      <c r="H5" t="s">
        <v>241</v>
      </c>
      <c r="I5" t="s">
        <v>245</v>
      </c>
      <c r="J5" t="s">
        <v>247</v>
      </c>
    </row>
    <row r="6" spans="1:10">
      <c r="A6" t="s">
        <v>14</v>
      </c>
      <c r="B6" t="s">
        <v>213</v>
      </c>
      <c r="C6" t="s">
        <v>230</v>
      </c>
      <c r="D6" s="1">
        <v>46289</v>
      </c>
      <c r="E6" t="s">
        <v>236</v>
      </c>
      <c r="F6" t="s">
        <v>240</v>
      </c>
      <c r="G6">
        <v>9</v>
      </c>
      <c r="H6" t="s">
        <v>241</v>
      </c>
      <c r="I6" t="s">
        <v>244</v>
      </c>
      <c r="J6" t="s">
        <v>248</v>
      </c>
    </row>
    <row r="7" spans="1:10">
      <c r="A7" t="s">
        <v>15</v>
      </c>
      <c r="B7" t="s">
        <v>214</v>
      </c>
      <c r="C7" t="s">
        <v>230</v>
      </c>
      <c r="D7" s="1">
        <v>46289</v>
      </c>
      <c r="E7" t="s">
        <v>235</v>
      </c>
      <c r="F7" t="s">
        <v>239</v>
      </c>
      <c r="G7">
        <v>3</v>
      </c>
      <c r="H7" t="s">
        <v>242</v>
      </c>
      <c r="I7" t="s">
        <v>243</v>
      </c>
      <c r="J7" t="s">
        <v>246</v>
      </c>
    </row>
    <row r="8" spans="1:10">
      <c r="A8" t="s">
        <v>16</v>
      </c>
      <c r="B8" t="s">
        <v>215</v>
      </c>
      <c r="C8" t="s">
        <v>232</v>
      </c>
      <c r="D8" s="1">
        <v>46252</v>
      </c>
      <c r="E8" t="s">
        <v>235</v>
      </c>
      <c r="F8" t="s">
        <v>240</v>
      </c>
      <c r="G8">
        <v>2</v>
      </c>
      <c r="H8" t="s">
        <v>242</v>
      </c>
      <c r="I8" t="s">
        <v>244</v>
      </c>
      <c r="J8" t="s">
        <v>248</v>
      </c>
    </row>
    <row r="9" spans="1:10">
      <c r="A9" t="s">
        <v>17</v>
      </c>
      <c r="B9" t="s">
        <v>216</v>
      </c>
      <c r="C9" t="s">
        <v>233</v>
      </c>
      <c r="D9" s="1">
        <v>46249</v>
      </c>
      <c r="E9" t="s">
        <v>236</v>
      </c>
      <c r="F9" t="s">
        <v>240</v>
      </c>
      <c r="G9">
        <v>9</v>
      </c>
      <c r="H9" t="s">
        <v>242</v>
      </c>
      <c r="I9" t="s">
        <v>243</v>
      </c>
      <c r="J9" t="s">
        <v>248</v>
      </c>
    </row>
    <row r="10" spans="1:10">
      <c r="A10" t="s">
        <v>18</v>
      </c>
      <c r="B10" t="s">
        <v>216</v>
      </c>
      <c r="C10" t="s">
        <v>230</v>
      </c>
      <c r="D10" s="1">
        <v>46271</v>
      </c>
      <c r="E10" t="s">
        <v>237</v>
      </c>
      <c r="F10" t="s">
        <v>239</v>
      </c>
      <c r="G10">
        <v>2</v>
      </c>
      <c r="H10" t="s">
        <v>241</v>
      </c>
      <c r="I10" t="s">
        <v>243</v>
      </c>
      <c r="J10" t="s">
        <v>246</v>
      </c>
    </row>
    <row r="11" spans="1:10">
      <c r="A11" t="s">
        <v>19</v>
      </c>
      <c r="B11" t="s">
        <v>210</v>
      </c>
      <c r="C11" t="s">
        <v>234</v>
      </c>
      <c r="D11" s="1">
        <v>46250</v>
      </c>
      <c r="E11" t="s">
        <v>237</v>
      </c>
      <c r="F11" t="s">
        <v>239</v>
      </c>
      <c r="G11">
        <v>3</v>
      </c>
      <c r="H11" t="s">
        <v>241</v>
      </c>
      <c r="I11" t="s">
        <v>244</v>
      </c>
      <c r="J11" t="s">
        <v>247</v>
      </c>
    </row>
    <row r="12" spans="1:10">
      <c r="A12" t="s">
        <v>20</v>
      </c>
      <c r="B12" t="s">
        <v>217</v>
      </c>
      <c r="C12" t="s">
        <v>233</v>
      </c>
      <c r="D12" s="1">
        <v>46243</v>
      </c>
      <c r="E12" t="s">
        <v>235</v>
      </c>
      <c r="F12" t="s">
        <v>239</v>
      </c>
      <c r="G12">
        <v>3</v>
      </c>
      <c r="H12" t="s">
        <v>241</v>
      </c>
      <c r="I12" t="s">
        <v>245</v>
      </c>
      <c r="J12" t="s">
        <v>249</v>
      </c>
    </row>
    <row r="13" spans="1:10">
      <c r="A13" t="s">
        <v>21</v>
      </c>
      <c r="B13" t="s">
        <v>218</v>
      </c>
      <c r="C13" t="s">
        <v>230</v>
      </c>
      <c r="D13" s="1">
        <v>46262</v>
      </c>
      <c r="E13" t="s">
        <v>237</v>
      </c>
      <c r="F13" t="s">
        <v>239</v>
      </c>
      <c r="G13">
        <v>3</v>
      </c>
      <c r="H13" t="s">
        <v>241</v>
      </c>
      <c r="I13" t="s">
        <v>243</v>
      </c>
      <c r="J13" t="s">
        <v>246</v>
      </c>
    </row>
    <row r="14" spans="1:10">
      <c r="A14" t="s">
        <v>22</v>
      </c>
      <c r="B14" t="s">
        <v>219</v>
      </c>
      <c r="C14" t="s">
        <v>234</v>
      </c>
      <c r="D14" s="1">
        <v>46235</v>
      </c>
      <c r="E14" t="s">
        <v>236</v>
      </c>
      <c r="F14" t="s">
        <v>239</v>
      </c>
      <c r="G14">
        <v>7</v>
      </c>
      <c r="H14" t="s">
        <v>241</v>
      </c>
      <c r="I14" t="s">
        <v>244</v>
      </c>
      <c r="J14" t="s">
        <v>247</v>
      </c>
    </row>
    <row r="15" spans="1:10">
      <c r="A15" t="s">
        <v>23</v>
      </c>
      <c r="B15" t="s">
        <v>220</v>
      </c>
      <c r="C15" t="s">
        <v>232</v>
      </c>
      <c r="D15" s="1">
        <v>46281</v>
      </c>
      <c r="E15" t="s">
        <v>235</v>
      </c>
      <c r="F15" t="s">
        <v>239</v>
      </c>
      <c r="G15">
        <v>4</v>
      </c>
      <c r="H15" t="s">
        <v>241</v>
      </c>
      <c r="I15" t="s">
        <v>244</v>
      </c>
      <c r="J15" t="s">
        <v>248</v>
      </c>
    </row>
    <row r="16" spans="1:10">
      <c r="A16" t="s">
        <v>24</v>
      </c>
      <c r="B16" t="s">
        <v>221</v>
      </c>
      <c r="C16" t="s">
        <v>233</v>
      </c>
      <c r="D16" s="1">
        <v>46247</v>
      </c>
      <c r="E16" t="s">
        <v>237</v>
      </c>
      <c r="F16" t="s">
        <v>240</v>
      </c>
      <c r="G16">
        <v>4</v>
      </c>
      <c r="H16" t="s">
        <v>241</v>
      </c>
      <c r="I16" t="s">
        <v>245</v>
      </c>
      <c r="J16" t="s">
        <v>248</v>
      </c>
    </row>
    <row r="17" spans="1:10">
      <c r="A17" t="s">
        <v>25</v>
      </c>
      <c r="B17" t="s">
        <v>222</v>
      </c>
      <c r="C17" t="s">
        <v>233</v>
      </c>
      <c r="D17" s="1">
        <v>46258</v>
      </c>
      <c r="E17" t="s">
        <v>238</v>
      </c>
      <c r="F17" t="s">
        <v>240</v>
      </c>
      <c r="G17">
        <v>4</v>
      </c>
      <c r="H17" t="s">
        <v>242</v>
      </c>
      <c r="I17" t="s">
        <v>243</v>
      </c>
      <c r="J17" t="s">
        <v>249</v>
      </c>
    </row>
    <row r="18" spans="1:10">
      <c r="A18" t="s">
        <v>26</v>
      </c>
      <c r="B18" t="s">
        <v>210</v>
      </c>
      <c r="C18" t="s">
        <v>231</v>
      </c>
      <c r="D18" s="1">
        <v>46283</v>
      </c>
      <c r="E18" t="s">
        <v>237</v>
      </c>
      <c r="F18" t="s">
        <v>240</v>
      </c>
      <c r="G18">
        <v>2</v>
      </c>
      <c r="H18" t="s">
        <v>241</v>
      </c>
      <c r="I18" t="s">
        <v>243</v>
      </c>
      <c r="J18" t="s">
        <v>248</v>
      </c>
    </row>
    <row r="19" spans="1:10">
      <c r="A19" t="s">
        <v>27</v>
      </c>
      <c r="B19" t="s">
        <v>211</v>
      </c>
      <c r="C19" t="s">
        <v>234</v>
      </c>
      <c r="D19" s="1">
        <v>46262</v>
      </c>
      <c r="E19" t="s">
        <v>237</v>
      </c>
      <c r="F19" t="s">
        <v>239</v>
      </c>
      <c r="G19">
        <v>6</v>
      </c>
      <c r="H19" t="s">
        <v>241</v>
      </c>
      <c r="I19" t="s">
        <v>244</v>
      </c>
      <c r="J19" t="s">
        <v>248</v>
      </c>
    </row>
    <row r="20" spans="1:10">
      <c r="A20" t="s">
        <v>28</v>
      </c>
      <c r="B20" t="s">
        <v>223</v>
      </c>
      <c r="C20" t="s">
        <v>232</v>
      </c>
      <c r="D20" s="1">
        <v>46268</v>
      </c>
      <c r="E20" t="s">
        <v>235</v>
      </c>
      <c r="F20" t="s">
        <v>239</v>
      </c>
      <c r="G20">
        <v>3</v>
      </c>
      <c r="H20" t="s">
        <v>241</v>
      </c>
      <c r="I20" t="s">
        <v>243</v>
      </c>
      <c r="J20" t="s">
        <v>248</v>
      </c>
    </row>
    <row r="21" spans="1:10">
      <c r="A21" t="s">
        <v>29</v>
      </c>
      <c r="B21" t="s">
        <v>224</v>
      </c>
      <c r="C21" t="s">
        <v>231</v>
      </c>
      <c r="D21" s="1">
        <v>46249</v>
      </c>
      <c r="E21" t="s">
        <v>235</v>
      </c>
      <c r="F21" t="s">
        <v>239</v>
      </c>
      <c r="G21">
        <v>5</v>
      </c>
      <c r="H21" t="s">
        <v>241</v>
      </c>
      <c r="I21" t="s">
        <v>243</v>
      </c>
      <c r="J21" t="s">
        <v>249</v>
      </c>
    </row>
    <row r="22" spans="1:10">
      <c r="A22" t="s">
        <v>30</v>
      </c>
      <c r="B22" t="s">
        <v>220</v>
      </c>
      <c r="C22" t="s">
        <v>231</v>
      </c>
      <c r="D22" s="1">
        <v>46250</v>
      </c>
      <c r="E22" t="s">
        <v>235</v>
      </c>
      <c r="F22" t="s">
        <v>239</v>
      </c>
      <c r="G22">
        <v>3</v>
      </c>
      <c r="H22" t="s">
        <v>241</v>
      </c>
      <c r="I22" t="s">
        <v>244</v>
      </c>
      <c r="J22" t="s">
        <v>246</v>
      </c>
    </row>
    <row r="23" spans="1:10">
      <c r="A23" t="s">
        <v>31</v>
      </c>
      <c r="B23" t="s">
        <v>225</v>
      </c>
      <c r="C23" t="s">
        <v>231</v>
      </c>
      <c r="D23" s="1">
        <v>46250</v>
      </c>
      <c r="E23" t="s">
        <v>235</v>
      </c>
      <c r="F23" t="s">
        <v>239</v>
      </c>
      <c r="G23">
        <v>5</v>
      </c>
      <c r="H23" t="s">
        <v>241</v>
      </c>
      <c r="I23" t="s">
        <v>245</v>
      </c>
      <c r="J23" t="s">
        <v>248</v>
      </c>
    </row>
    <row r="24" spans="1:10">
      <c r="A24" t="s">
        <v>32</v>
      </c>
      <c r="B24" t="s">
        <v>226</v>
      </c>
      <c r="C24" t="s">
        <v>230</v>
      </c>
      <c r="D24" s="1">
        <v>46289</v>
      </c>
      <c r="E24" t="s">
        <v>235</v>
      </c>
      <c r="F24" t="s">
        <v>239</v>
      </c>
      <c r="G24">
        <v>4</v>
      </c>
      <c r="H24" t="s">
        <v>241</v>
      </c>
      <c r="I24" t="s">
        <v>244</v>
      </c>
      <c r="J24" t="s">
        <v>249</v>
      </c>
    </row>
    <row r="25" spans="1:10">
      <c r="A25" t="s">
        <v>33</v>
      </c>
      <c r="B25" t="s">
        <v>210</v>
      </c>
      <c r="C25" t="s">
        <v>230</v>
      </c>
      <c r="D25" s="1">
        <v>46247</v>
      </c>
      <c r="E25" t="s">
        <v>235</v>
      </c>
      <c r="F25" t="s">
        <v>239</v>
      </c>
      <c r="G25">
        <v>1</v>
      </c>
      <c r="H25" t="s">
        <v>241</v>
      </c>
      <c r="I25" t="s">
        <v>245</v>
      </c>
      <c r="J25" t="s">
        <v>248</v>
      </c>
    </row>
    <row r="26" spans="1:10">
      <c r="A26" t="s">
        <v>34</v>
      </c>
      <c r="B26" t="s">
        <v>210</v>
      </c>
      <c r="C26" t="s">
        <v>234</v>
      </c>
      <c r="D26" s="1">
        <v>46289</v>
      </c>
      <c r="E26" t="s">
        <v>235</v>
      </c>
      <c r="F26" t="s">
        <v>239</v>
      </c>
      <c r="G26">
        <v>1</v>
      </c>
      <c r="H26" t="s">
        <v>241</v>
      </c>
      <c r="I26" t="s">
        <v>243</v>
      </c>
      <c r="J26" t="s">
        <v>249</v>
      </c>
    </row>
    <row r="27" spans="1:10">
      <c r="A27" t="s">
        <v>35</v>
      </c>
      <c r="B27" t="s">
        <v>225</v>
      </c>
      <c r="C27" t="s">
        <v>233</v>
      </c>
      <c r="D27" s="1">
        <v>46266</v>
      </c>
      <c r="E27" t="s">
        <v>237</v>
      </c>
      <c r="F27" t="s">
        <v>240</v>
      </c>
      <c r="G27">
        <v>8</v>
      </c>
      <c r="H27" t="s">
        <v>242</v>
      </c>
      <c r="I27" t="s">
        <v>243</v>
      </c>
      <c r="J27" t="s">
        <v>246</v>
      </c>
    </row>
    <row r="28" spans="1:10">
      <c r="A28" t="s">
        <v>36</v>
      </c>
      <c r="B28" t="s">
        <v>223</v>
      </c>
      <c r="C28" t="s">
        <v>230</v>
      </c>
      <c r="D28" s="1">
        <v>46285</v>
      </c>
      <c r="E28" t="s">
        <v>235</v>
      </c>
      <c r="F28" t="s">
        <v>239</v>
      </c>
      <c r="G28">
        <v>4</v>
      </c>
      <c r="H28" t="s">
        <v>241</v>
      </c>
      <c r="I28" t="s">
        <v>245</v>
      </c>
      <c r="J28" t="s">
        <v>246</v>
      </c>
    </row>
    <row r="29" spans="1:10">
      <c r="A29" t="s">
        <v>37</v>
      </c>
      <c r="B29" t="s">
        <v>226</v>
      </c>
      <c r="C29" t="s">
        <v>233</v>
      </c>
      <c r="D29" s="1">
        <v>46269</v>
      </c>
      <c r="E29" t="s">
        <v>236</v>
      </c>
      <c r="F29" t="s">
        <v>240</v>
      </c>
      <c r="G29">
        <v>6</v>
      </c>
      <c r="H29" t="s">
        <v>242</v>
      </c>
      <c r="I29" t="s">
        <v>244</v>
      </c>
      <c r="J29" t="s">
        <v>247</v>
      </c>
    </row>
    <row r="30" spans="1:10">
      <c r="A30" t="s">
        <v>38</v>
      </c>
      <c r="B30" t="s">
        <v>215</v>
      </c>
      <c r="C30" t="s">
        <v>230</v>
      </c>
      <c r="D30" s="1">
        <v>46267</v>
      </c>
      <c r="E30" t="s">
        <v>235</v>
      </c>
      <c r="F30" t="s">
        <v>239</v>
      </c>
      <c r="G30">
        <v>5</v>
      </c>
      <c r="H30" t="s">
        <v>241</v>
      </c>
      <c r="I30" t="s">
        <v>243</v>
      </c>
      <c r="J30" t="s">
        <v>249</v>
      </c>
    </row>
    <row r="31" spans="1:10">
      <c r="A31" t="s">
        <v>39</v>
      </c>
      <c r="B31" t="s">
        <v>227</v>
      </c>
      <c r="C31" t="s">
        <v>233</v>
      </c>
      <c r="D31" s="1">
        <v>46250</v>
      </c>
      <c r="E31" t="s">
        <v>235</v>
      </c>
      <c r="F31" t="s">
        <v>240</v>
      </c>
      <c r="G31">
        <v>4</v>
      </c>
      <c r="H31" t="s">
        <v>241</v>
      </c>
      <c r="I31" t="s">
        <v>244</v>
      </c>
      <c r="J31" t="s">
        <v>249</v>
      </c>
    </row>
    <row r="32" spans="1:10">
      <c r="A32" t="s">
        <v>40</v>
      </c>
      <c r="B32" t="s">
        <v>211</v>
      </c>
      <c r="C32" t="s">
        <v>233</v>
      </c>
      <c r="D32" s="1">
        <v>46251</v>
      </c>
      <c r="E32" t="s">
        <v>235</v>
      </c>
      <c r="F32" t="s">
        <v>239</v>
      </c>
      <c r="G32">
        <v>5</v>
      </c>
      <c r="H32" t="s">
        <v>241</v>
      </c>
      <c r="I32" t="s">
        <v>244</v>
      </c>
      <c r="J32" t="s">
        <v>247</v>
      </c>
    </row>
    <row r="33" spans="1:10">
      <c r="A33" t="s">
        <v>41</v>
      </c>
      <c r="B33" t="s">
        <v>215</v>
      </c>
      <c r="C33" t="s">
        <v>231</v>
      </c>
      <c r="D33" s="1">
        <v>46255</v>
      </c>
      <c r="E33" t="s">
        <v>235</v>
      </c>
      <c r="F33" t="s">
        <v>239</v>
      </c>
      <c r="G33">
        <v>6</v>
      </c>
      <c r="H33" t="s">
        <v>241</v>
      </c>
      <c r="I33" t="s">
        <v>243</v>
      </c>
      <c r="J33" t="s">
        <v>246</v>
      </c>
    </row>
    <row r="34" spans="1:10">
      <c r="A34" t="s">
        <v>42</v>
      </c>
      <c r="B34" t="s">
        <v>215</v>
      </c>
      <c r="C34" t="s">
        <v>233</v>
      </c>
      <c r="D34" s="1">
        <v>46257</v>
      </c>
      <c r="E34" t="s">
        <v>238</v>
      </c>
      <c r="F34" t="s">
        <v>240</v>
      </c>
      <c r="G34">
        <v>5</v>
      </c>
      <c r="H34" t="s">
        <v>242</v>
      </c>
      <c r="I34" t="s">
        <v>243</v>
      </c>
      <c r="J34" t="s">
        <v>247</v>
      </c>
    </row>
    <row r="35" spans="1:10">
      <c r="A35" t="s">
        <v>43</v>
      </c>
      <c r="B35" t="s">
        <v>217</v>
      </c>
      <c r="C35" t="s">
        <v>232</v>
      </c>
      <c r="D35" s="1">
        <v>46286</v>
      </c>
      <c r="E35" t="s">
        <v>235</v>
      </c>
      <c r="F35" t="s">
        <v>240</v>
      </c>
      <c r="G35">
        <v>6</v>
      </c>
      <c r="H35" t="s">
        <v>241</v>
      </c>
      <c r="I35" t="s">
        <v>243</v>
      </c>
      <c r="J35" t="s">
        <v>247</v>
      </c>
    </row>
    <row r="36" spans="1:10">
      <c r="A36" t="s">
        <v>44</v>
      </c>
      <c r="B36" t="s">
        <v>210</v>
      </c>
      <c r="C36" t="s">
        <v>230</v>
      </c>
      <c r="D36" s="1">
        <v>46282</v>
      </c>
      <c r="E36" t="s">
        <v>237</v>
      </c>
      <c r="F36" t="s">
        <v>239</v>
      </c>
      <c r="G36">
        <v>2</v>
      </c>
      <c r="H36" t="s">
        <v>242</v>
      </c>
      <c r="I36" t="s">
        <v>243</v>
      </c>
      <c r="J36" t="s">
        <v>247</v>
      </c>
    </row>
    <row r="37" spans="1:10">
      <c r="A37" t="s">
        <v>45</v>
      </c>
      <c r="B37" t="s">
        <v>225</v>
      </c>
      <c r="C37" t="s">
        <v>232</v>
      </c>
      <c r="D37" s="1">
        <v>46267</v>
      </c>
      <c r="E37" t="s">
        <v>236</v>
      </c>
      <c r="F37" t="s">
        <v>239</v>
      </c>
      <c r="G37">
        <v>6</v>
      </c>
      <c r="H37" t="s">
        <v>241</v>
      </c>
      <c r="I37" t="s">
        <v>245</v>
      </c>
      <c r="J37" t="s">
        <v>249</v>
      </c>
    </row>
    <row r="38" spans="1:10">
      <c r="A38" t="s">
        <v>46</v>
      </c>
      <c r="B38" t="s">
        <v>228</v>
      </c>
      <c r="C38" t="s">
        <v>230</v>
      </c>
      <c r="D38" s="1">
        <v>46251</v>
      </c>
      <c r="E38" t="s">
        <v>236</v>
      </c>
      <c r="F38" t="s">
        <v>240</v>
      </c>
      <c r="G38">
        <v>3</v>
      </c>
      <c r="H38" t="s">
        <v>241</v>
      </c>
      <c r="I38" t="s">
        <v>244</v>
      </c>
      <c r="J38" t="s">
        <v>246</v>
      </c>
    </row>
    <row r="39" spans="1:10">
      <c r="A39" t="s">
        <v>47</v>
      </c>
      <c r="B39" t="s">
        <v>226</v>
      </c>
      <c r="C39" t="s">
        <v>233</v>
      </c>
      <c r="D39" s="1">
        <v>46269</v>
      </c>
      <c r="E39" t="s">
        <v>236</v>
      </c>
      <c r="F39" t="s">
        <v>240</v>
      </c>
      <c r="G39">
        <v>4</v>
      </c>
      <c r="H39" t="s">
        <v>242</v>
      </c>
      <c r="I39" t="s">
        <v>245</v>
      </c>
      <c r="J39" t="s">
        <v>248</v>
      </c>
    </row>
    <row r="40" spans="1:10">
      <c r="A40" t="s">
        <v>48</v>
      </c>
      <c r="B40" t="s">
        <v>214</v>
      </c>
      <c r="C40" t="s">
        <v>234</v>
      </c>
      <c r="D40" s="1">
        <v>46248</v>
      </c>
      <c r="E40" t="s">
        <v>235</v>
      </c>
      <c r="F40" t="s">
        <v>239</v>
      </c>
      <c r="G40">
        <v>1</v>
      </c>
      <c r="H40" t="s">
        <v>242</v>
      </c>
      <c r="I40" t="s">
        <v>244</v>
      </c>
      <c r="J40" t="s">
        <v>249</v>
      </c>
    </row>
    <row r="41" spans="1:10">
      <c r="A41" t="s">
        <v>49</v>
      </c>
      <c r="B41" t="s">
        <v>228</v>
      </c>
      <c r="C41" t="s">
        <v>232</v>
      </c>
      <c r="D41" s="1">
        <v>46250</v>
      </c>
      <c r="E41" t="s">
        <v>237</v>
      </c>
      <c r="F41" t="s">
        <v>240</v>
      </c>
      <c r="G41">
        <v>5</v>
      </c>
      <c r="H41" t="s">
        <v>242</v>
      </c>
      <c r="I41" t="s">
        <v>243</v>
      </c>
      <c r="J41" t="s">
        <v>246</v>
      </c>
    </row>
    <row r="42" spans="1:10">
      <c r="A42" t="s">
        <v>50</v>
      </c>
      <c r="B42" t="s">
        <v>214</v>
      </c>
      <c r="C42" t="s">
        <v>230</v>
      </c>
      <c r="D42" s="1">
        <v>46286</v>
      </c>
      <c r="E42" t="s">
        <v>235</v>
      </c>
      <c r="F42" t="s">
        <v>240</v>
      </c>
      <c r="G42">
        <v>4</v>
      </c>
      <c r="H42" t="s">
        <v>241</v>
      </c>
      <c r="I42" t="s">
        <v>245</v>
      </c>
      <c r="J42" t="s">
        <v>248</v>
      </c>
    </row>
    <row r="43" spans="1:10">
      <c r="A43" t="s">
        <v>51</v>
      </c>
      <c r="B43" t="s">
        <v>223</v>
      </c>
      <c r="C43" t="s">
        <v>230</v>
      </c>
      <c r="D43" s="1">
        <v>46287</v>
      </c>
      <c r="E43" t="s">
        <v>235</v>
      </c>
      <c r="F43" t="s">
        <v>239</v>
      </c>
      <c r="G43">
        <v>4</v>
      </c>
      <c r="H43" t="s">
        <v>241</v>
      </c>
      <c r="I43" t="s">
        <v>245</v>
      </c>
      <c r="J43" t="s">
        <v>247</v>
      </c>
    </row>
    <row r="44" spans="1:10">
      <c r="A44" t="s">
        <v>52</v>
      </c>
      <c r="B44" t="s">
        <v>215</v>
      </c>
      <c r="C44" t="s">
        <v>231</v>
      </c>
      <c r="D44" s="1">
        <v>46289</v>
      </c>
      <c r="E44" t="s">
        <v>235</v>
      </c>
      <c r="F44" t="s">
        <v>239</v>
      </c>
      <c r="G44">
        <v>4</v>
      </c>
      <c r="H44" t="s">
        <v>241</v>
      </c>
      <c r="I44" t="s">
        <v>245</v>
      </c>
      <c r="J44" t="s">
        <v>247</v>
      </c>
    </row>
    <row r="45" spans="1:10">
      <c r="A45" t="s">
        <v>53</v>
      </c>
      <c r="B45" t="s">
        <v>228</v>
      </c>
      <c r="C45" t="s">
        <v>233</v>
      </c>
      <c r="D45" s="1">
        <v>46251</v>
      </c>
      <c r="E45" t="s">
        <v>235</v>
      </c>
      <c r="F45" t="s">
        <v>240</v>
      </c>
      <c r="G45">
        <v>5</v>
      </c>
      <c r="H45" t="s">
        <v>242</v>
      </c>
      <c r="I45" t="s">
        <v>244</v>
      </c>
      <c r="J45" t="s">
        <v>247</v>
      </c>
    </row>
    <row r="46" spans="1:10">
      <c r="A46" t="s">
        <v>54</v>
      </c>
      <c r="B46" t="s">
        <v>218</v>
      </c>
      <c r="C46" t="s">
        <v>230</v>
      </c>
      <c r="D46" s="1">
        <v>46262</v>
      </c>
      <c r="E46" t="s">
        <v>235</v>
      </c>
      <c r="F46" t="s">
        <v>239</v>
      </c>
      <c r="G46">
        <v>6</v>
      </c>
      <c r="H46" t="s">
        <v>241</v>
      </c>
      <c r="I46" t="s">
        <v>244</v>
      </c>
      <c r="J46" t="s">
        <v>249</v>
      </c>
    </row>
    <row r="47" spans="1:10">
      <c r="A47" t="s">
        <v>55</v>
      </c>
      <c r="B47" t="s">
        <v>217</v>
      </c>
      <c r="C47" t="s">
        <v>234</v>
      </c>
      <c r="D47" s="1">
        <v>46235</v>
      </c>
      <c r="E47" t="s">
        <v>237</v>
      </c>
      <c r="F47" t="s">
        <v>239</v>
      </c>
      <c r="G47">
        <v>2</v>
      </c>
      <c r="H47" t="s">
        <v>241</v>
      </c>
      <c r="I47" t="s">
        <v>244</v>
      </c>
      <c r="J47" t="s">
        <v>248</v>
      </c>
    </row>
    <row r="48" spans="1:10">
      <c r="A48" t="s">
        <v>56</v>
      </c>
      <c r="B48" t="s">
        <v>222</v>
      </c>
      <c r="C48" t="s">
        <v>232</v>
      </c>
      <c r="D48" s="1">
        <v>46242</v>
      </c>
      <c r="E48" t="s">
        <v>235</v>
      </c>
      <c r="F48" t="s">
        <v>240</v>
      </c>
      <c r="G48">
        <v>3</v>
      </c>
      <c r="H48" t="s">
        <v>241</v>
      </c>
      <c r="I48" t="s">
        <v>244</v>
      </c>
      <c r="J48" t="s">
        <v>247</v>
      </c>
    </row>
    <row r="49" spans="1:10">
      <c r="A49" t="s">
        <v>57</v>
      </c>
      <c r="B49" t="s">
        <v>229</v>
      </c>
      <c r="C49" t="s">
        <v>234</v>
      </c>
      <c r="D49" s="1">
        <v>46261</v>
      </c>
      <c r="E49" t="s">
        <v>235</v>
      </c>
      <c r="F49" t="s">
        <v>239</v>
      </c>
      <c r="G49">
        <v>5</v>
      </c>
      <c r="H49" t="s">
        <v>241</v>
      </c>
      <c r="I49" t="s">
        <v>244</v>
      </c>
      <c r="J49" t="s">
        <v>248</v>
      </c>
    </row>
    <row r="50" spans="1:10">
      <c r="A50" t="s">
        <v>58</v>
      </c>
      <c r="B50" t="s">
        <v>216</v>
      </c>
      <c r="C50" t="s">
        <v>233</v>
      </c>
      <c r="D50" s="1">
        <v>46273</v>
      </c>
      <c r="E50" t="s">
        <v>236</v>
      </c>
      <c r="F50" t="s">
        <v>240</v>
      </c>
      <c r="G50">
        <v>3</v>
      </c>
      <c r="H50" t="s">
        <v>241</v>
      </c>
      <c r="I50" t="s">
        <v>245</v>
      </c>
      <c r="J50" t="s">
        <v>246</v>
      </c>
    </row>
    <row r="51" spans="1:10">
      <c r="A51" t="s">
        <v>59</v>
      </c>
      <c r="B51" t="s">
        <v>218</v>
      </c>
      <c r="C51" t="s">
        <v>234</v>
      </c>
      <c r="D51" s="1">
        <v>46277</v>
      </c>
      <c r="E51" t="s">
        <v>236</v>
      </c>
      <c r="F51" t="s">
        <v>239</v>
      </c>
      <c r="G51">
        <v>5</v>
      </c>
      <c r="H51" t="s">
        <v>241</v>
      </c>
      <c r="I51" t="s">
        <v>245</v>
      </c>
      <c r="J51" t="s">
        <v>249</v>
      </c>
    </row>
    <row r="52" spans="1:10">
      <c r="A52" t="s">
        <v>60</v>
      </c>
      <c r="B52" t="s">
        <v>215</v>
      </c>
      <c r="C52" t="s">
        <v>231</v>
      </c>
      <c r="D52" s="1">
        <v>46274</v>
      </c>
      <c r="E52" t="s">
        <v>236</v>
      </c>
      <c r="F52" t="s">
        <v>240</v>
      </c>
      <c r="G52">
        <v>6</v>
      </c>
      <c r="H52" t="s">
        <v>241</v>
      </c>
      <c r="I52" t="s">
        <v>245</v>
      </c>
      <c r="J52" t="s">
        <v>246</v>
      </c>
    </row>
    <row r="53" spans="1:10">
      <c r="A53" t="s">
        <v>61</v>
      </c>
      <c r="B53" t="s">
        <v>224</v>
      </c>
      <c r="C53" t="s">
        <v>233</v>
      </c>
      <c r="D53" s="1">
        <v>46244</v>
      </c>
      <c r="E53" t="s">
        <v>235</v>
      </c>
      <c r="F53" t="s">
        <v>239</v>
      </c>
      <c r="G53">
        <v>4</v>
      </c>
      <c r="H53" t="s">
        <v>241</v>
      </c>
      <c r="I53" t="s">
        <v>243</v>
      </c>
      <c r="J53" t="s">
        <v>246</v>
      </c>
    </row>
    <row r="54" spans="1:10">
      <c r="A54" t="s">
        <v>62</v>
      </c>
      <c r="B54" t="s">
        <v>219</v>
      </c>
      <c r="C54" t="s">
        <v>231</v>
      </c>
      <c r="D54" s="1">
        <v>46289</v>
      </c>
      <c r="E54" t="s">
        <v>235</v>
      </c>
      <c r="F54" t="s">
        <v>240</v>
      </c>
      <c r="G54">
        <v>5</v>
      </c>
      <c r="H54" t="s">
        <v>241</v>
      </c>
      <c r="I54" t="s">
        <v>245</v>
      </c>
      <c r="J54" t="s">
        <v>248</v>
      </c>
    </row>
    <row r="55" spans="1:10">
      <c r="A55" t="s">
        <v>63</v>
      </c>
      <c r="B55" t="s">
        <v>217</v>
      </c>
      <c r="C55" t="s">
        <v>234</v>
      </c>
      <c r="D55" s="1">
        <v>46281</v>
      </c>
      <c r="E55" t="s">
        <v>236</v>
      </c>
      <c r="F55" t="s">
        <v>240</v>
      </c>
      <c r="G55">
        <v>8</v>
      </c>
      <c r="H55" t="s">
        <v>242</v>
      </c>
      <c r="I55" t="s">
        <v>245</v>
      </c>
      <c r="J55" t="s">
        <v>246</v>
      </c>
    </row>
    <row r="56" spans="1:10">
      <c r="A56" t="s">
        <v>64</v>
      </c>
      <c r="B56" t="s">
        <v>220</v>
      </c>
      <c r="C56" t="s">
        <v>231</v>
      </c>
      <c r="D56" s="1">
        <v>46288</v>
      </c>
      <c r="E56" t="s">
        <v>237</v>
      </c>
      <c r="F56" t="s">
        <v>239</v>
      </c>
      <c r="G56">
        <v>4</v>
      </c>
      <c r="H56" t="s">
        <v>241</v>
      </c>
      <c r="I56" t="s">
        <v>244</v>
      </c>
      <c r="J56" t="s">
        <v>246</v>
      </c>
    </row>
    <row r="57" spans="1:10">
      <c r="A57" t="s">
        <v>65</v>
      </c>
      <c r="B57" t="s">
        <v>216</v>
      </c>
      <c r="C57" t="s">
        <v>231</v>
      </c>
      <c r="D57" s="1">
        <v>46256</v>
      </c>
      <c r="E57" t="s">
        <v>235</v>
      </c>
      <c r="F57" t="s">
        <v>239</v>
      </c>
      <c r="G57">
        <v>3</v>
      </c>
      <c r="H57" t="s">
        <v>241</v>
      </c>
      <c r="I57" t="s">
        <v>244</v>
      </c>
      <c r="J57" t="s">
        <v>249</v>
      </c>
    </row>
    <row r="58" spans="1:10">
      <c r="A58" t="s">
        <v>66</v>
      </c>
      <c r="B58" t="s">
        <v>212</v>
      </c>
      <c r="C58" t="s">
        <v>231</v>
      </c>
      <c r="D58" s="1">
        <v>46239</v>
      </c>
      <c r="E58" t="s">
        <v>235</v>
      </c>
      <c r="F58" t="s">
        <v>239</v>
      </c>
      <c r="G58">
        <v>2</v>
      </c>
      <c r="H58" t="s">
        <v>241</v>
      </c>
      <c r="I58" t="s">
        <v>245</v>
      </c>
      <c r="J58" t="s">
        <v>247</v>
      </c>
    </row>
    <row r="59" spans="1:10">
      <c r="A59" t="s">
        <v>67</v>
      </c>
      <c r="B59" t="s">
        <v>227</v>
      </c>
      <c r="C59" t="s">
        <v>233</v>
      </c>
      <c r="D59" s="1">
        <v>46284</v>
      </c>
      <c r="E59" t="s">
        <v>235</v>
      </c>
      <c r="F59" t="s">
        <v>239</v>
      </c>
      <c r="G59">
        <v>4</v>
      </c>
      <c r="H59" t="s">
        <v>241</v>
      </c>
      <c r="I59" t="s">
        <v>244</v>
      </c>
      <c r="J59" t="s">
        <v>249</v>
      </c>
    </row>
    <row r="60" spans="1:10">
      <c r="A60" t="s">
        <v>68</v>
      </c>
      <c r="B60" t="s">
        <v>212</v>
      </c>
      <c r="C60" t="s">
        <v>233</v>
      </c>
      <c r="D60" s="1">
        <v>46259</v>
      </c>
      <c r="E60" t="s">
        <v>235</v>
      </c>
      <c r="F60" t="s">
        <v>239</v>
      </c>
      <c r="G60">
        <v>3</v>
      </c>
      <c r="H60" t="s">
        <v>241</v>
      </c>
      <c r="I60" t="s">
        <v>244</v>
      </c>
      <c r="J60" t="s">
        <v>248</v>
      </c>
    </row>
    <row r="61" spans="1:10">
      <c r="A61" t="s">
        <v>69</v>
      </c>
      <c r="B61" t="s">
        <v>229</v>
      </c>
      <c r="C61" t="s">
        <v>234</v>
      </c>
      <c r="D61" s="1">
        <v>46277</v>
      </c>
      <c r="E61" t="s">
        <v>235</v>
      </c>
      <c r="F61" t="s">
        <v>239</v>
      </c>
      <c r="G61">
        <v>1</v>
      </c>
      <c r="H61" t="s">
        <v>241</v>
      </c>
      <c r="I61" t="s">
        <v>244</v>
      </c>
      <c r="J61" t="s">
        <v>248</v>
      </c>
    </row>
    <row r="62" spans="1:10">
      <c r="A62" t="s">
        <v>70</v>
      </c>
      <c r="B62" t="s">
        <v>224</v>
      </c>
      <c r="C62" t="s">
        <v>234</v>
      </c>
      <c r="D62" s="1">
        <v>46271</v>
      </c>
      <c r="E62" t="s">
        <v>237</v>
      </c>
      <c r="F62" t="s">
        <v>240</v>
      </c>
      <c r="G62">
        <v>6</v>
      </c>
      <c r="H62" t="s">
        <v>241</v>
      </c>
      <c r="I62" t="s">
        <v>243</v>
      </c>
      <c r="J62" t="s">
        <v>246</v>
      </c>
    </row>
    <row r="63" spans="1:10">
      <c r="A63" t="s">
        <v>71</v>
      </c>
      <c r="B63" t="s">
        <v>223</v>
      </c>
      <c r="C63" t="s">
        <v>231</v>
      </c>
      <c r="D63" s="1">
        <v>46248</v>
      </c>
      <c r="E63" t="s">
        <v>237</v>
      </c>
      <c r="F63" t="s">
        <v>239</v>
      </c>
      <c r="G63">
        <v>4</v>
      </c>
      <c r="H63" t="s">
        <v>241</v>
      </c>
      <c r="I63" t="s">
        <v>245</v>
      </c>
      <c r="J63" t="s">
        <v>247</v>
      </c>
    </row>
    <row r="64" spans="1:10">
      <c r="A64" t="s">
        <v>72</v>
      </c>
      <c r="B64" t="s">
        <v>210</v>
      </c>
      <c r="C64" t="s">
        <v>234</v>
      </c>
      <c r="D64" s="1">
        <v>46236</v>
      </c>
      <c r="E64" t="s">
        <v>235</v>
      </c>
      <c r="F64" t="s">
        <v>240</v>
      </c>
      <c r="G64">
        <v>4</v>
      </c>
      <c r="H64" t="s">
        <v>242</v>
      </c>
      <c r="I64" t="s">
        <v>243</v>
      </c>
      <c r="J64" t="s">
        <v>247</v>
      </c>
    </row>
    <row r="65" spans="1:10">
      <c r="A65" t="s">
        <v>73</v>
      </c>
      <c r="B65" t="s">
        <v>224</v>
      </c>
      <c r="C65" t="s">
        <v>231</v>
      </c>
      <c r="D65" s="1">
        <v>46247</v>
      </c>
      <c r="E65" t="s">
        <v>236</v>
      </c>
      <c r="F65" t="s">
        <v>239</v>
      </c>
      <c r="G65">
        <v>3</v>
      </c>
      <c r="H65" t="s">
        <v>242</v>
      </c>
      <c r="I65" t="s">
        <v>244</v>
      </c>
      <c r="J65" t="s">
        <v>248</v>
      </c>
    </row>
    <row r="66" spans="1:10">
      <c r="A66" t="s">
        <v>74</v>
      </c>
      <c r="B66" t="s">
        <v>220</v>
      </c>
      <c r="C66" t="s">
        <v>231</v>
      </c>
      <c r="D66" s="1">
        <v>46264</v>
      </c>
      <c r="E66" t="s">
        <v>235</v>
      </c>
      <c r="F66" t="s">
        <v>239</v>
      </c>
      <c r="G66">
        <v>5</v>
      </c>
      <c r="H66" t="s">
        <v>242</v>
      </c>
      <c r="I66" t="s">
        <v>245</v>
      </c>
      <c r="J66" t="s">
        <v>248</v>
      </c>
    </row>
    <row r="67" spans="1:10">
      <c r="A67" t="s">
        <v>75</v>
      </c>
      <c r="B67" t="s">
        <v>219</v>
      </c>
      <c r="C67" t="s">
        <v>233</v>
      </c>
      <c r="D67" s="1">
        <v>46254</v>
      </c>
      <c r="E67" t="s">
        <v>236</v>
      </c>
      <c r="F67" t="s">
        <v>239</v>
      </c>
      <c r="G67">
        <v>4</v>
      </c>
      <c r="H67" t="s">
        <v>241</v>
      </c>
      <c r="I67" t="s">
        <v>244</v>
      </c>
      <c r="J67" t="s">
        <v>249</v>
      </c>
    </row>
    <row r="68" spans="1:10">
      <c r="A68" t="s">
        <v>76</v>
      </c>
      <c r="B68" t="s">
        <v>214</v>
      </c>
      <c r="C68" t="s">
        <v>232</v>
      </c>
      <c r="D68" s="1">
        <v>46279</v>
      </c>
      <c r="E68" t="s">
        <v>236</v>
      </c>
      <c r="F68" t="s">
        <v>240</v>
      </c>
      <c r="G68">
        <v>9</v>
      </c>
      <c r="H68" t="s">
        <v>242</v>
      </c>
      <c r="I68" t="s">
        <v>243</v>
      </c>
      <c r="J68" t="s">
        <v>247</v>
      </c>
    </row>
    <row r="69" spans="1:10">
      <c r="A69" t="s">
        <v>77</v>
      </c>
      <c r="B69" t="s">
        <v>210</v>
      </c>
      <c r="C69" t="s">
        <v>233</v>
      </c>
      <c r="D69" s="1">
        <v>46257</v>
      </c>
      <c r="E69" t="s">
        <v>237</v>
      </c>
      <c r="F69" t="s">
        <v>239</v>
      </c>
      <c r="G69">
        <v>6</v>
      </c>
      <c r="H69" t="s">
        <v>241</v>
      </c>
      <c r="I69" t="s">
        <v>245</v>
      </c>
      <c r="J69" t="s">
        <v>247</v>
      </c>
    </row>
    <row r="70" spans="1:10">
      <c r="A70" t="s">
        <v>78</v>
      </c>
      <c r="B70" t="s">
        <v>212</v>
      </c>
      <c r="C70" t="s">
        <v>230</v>
      </c>
      <c r="D70" s="1">
        <v>46241</v>
      </c>
      <c r="E70" t="s">
        <v>235</v>
      </c>
      <c r="F70" t="s">
        <v>239</v>
      </c>
      <c r="G70">
        <v>4</v>
      </c>
      <c r="H70" t="s">
        <v>241</v>
      </c>
      <c r="I70" t="s">
        <v>245</v>
      </c>
      <c r="J70" t="s">
        <v>246</v>
      </c>
    </row>
    <row r="71" spans="1:10">
      <c r="A71" t="s">
        <v>79</v>
      </c>
      <c r="B71" t="s">
        <v>210</v>
      </c>
      <c r="C71" t="s">
        <v>231</v>
      </c>
      <c r="D71" s="1">
        <v>46286</v>
      </c>
      <c r="E71" t="s">
        <v>235</v>
      </c>
      <c r="F71" t="s">
        <v>239</v>
      </c>
      <c r="G71">
        <v>6</v>
      </c>
      <c r="H71" t="s">
        <v>241</v>
      </c>
      <c r="I71" t="s">
        <v>245</v>
      </c>
      <c r="J71" t="s">
        <v>246</v>
      </c>
    </row>
    <row r="72" spans="1:10">
      <c r="A72" t="s">
        <v>80</v>
      </c>
      <c r="B72" t="s">
        <v>215</v>
      </c>
      <c r="C72" t="s">
        <v>234</v>
      </c>
      <c r="D72" s="1">
        <v>46288</v>
      </c>
      <c r="E72" t="s">
        <v>237</v>
      </c>
      <c r="F72" t="s">
        <v>239</v>
      </c>
      <c r="G72">
        <v>4</v>
      </c>
      <c r="H72" t="s">
        <v>241</v>
      </c>
      <c r="I72" t="s">
        <v>245</v>
      </c>
      <c r="J72" t="s">
        <v>246</v>
      </c>
    </row>
    <row r="73" spans="1:10">
      <c r="A73" t="s">
        <v>81</v>
      </c>
      <c r="B73" t="s">
        <v>225</v>
      </c>
      <c r="C73" t="s">
        <v>231</v>
      </c>
      <c r="D73" s="1">
        <v>46236</v>
      </c>
      <c r="E73" t="s">
        <v>237</v>
      </c>
      <c r="F73" t="s">
        <v>239</v>
      </c>
      <c r="G73">
        <v>7</v>
      </c>
      <c r="H73" t="s">
        <v>241</v>
      </c>
      <c r="I73" t="s">
        <v>245</v>
      </c>
      <c r="J73" t="s">
        <v>248</v>
      </c>
    </row>
    <row r="74" spans="1:10">
      <c r="A74" t="s">
        <v>82</v>
      </c>
      <c r="B74" t="s">
        <v>220</v>
      </c>
      <c r="C74" t="s">
        <v>234</v>
      </c>
      <c r="D74" s="1">
        <v>46273</v>
      </c>
      <c r="E74" t="s">
        <v>235</v>
      </c>
      <c r="F74" t="s">
        <v>239</v>
      </c>
      <c r="G74">
        <v>3</v>
      </c>
      <c r="H74" t="s">
        <v>241</v>
      </c>
      <c r="I74" t="s">
        <v>244</v>
      </c>
      <c r="J74" t="s">
        <v>249</v>
      </c>
    </row>
    <row r="75" spans="1:10">
      <c r="A75" t="s">
        <v>83</v>
      </c>
      <c r="B75" t="s">
        <v>214</v>
      </c>
      <c r="C75" t="s">
        <v>233</v>
      </c>
      <c r="D75" s="1">
        <v>46270</v>
      </c>
      <c r="E75" t="s">
        <v>237</v>
      </c>
      <c r="F75" t="s">
        <v>239</v>
      </c>
      <c r="G75">
        <v>7</v>
      </c>
      <c r="H75" t="s">
        <v>241</v>
      </c>
      <c r="I75" t="s">
        <v>244</v>
      </c>
      <c r="J75" t="s">
        <v>246</v>
      </c>
    </row>
    <row r="76" spans="1:10">
      <c r="A76" t="s">
        <v>84</v>
      </c>
      <c r="B76" t="s">
        <v>214</v>
      </c>
      <c r="C76" t="s">
        <v>234</v>
      </c>
      <c r="D76" s="1">
        <v>46279</v>
      </c>
      <c r="E76" t="s">
        <v>235</v>
      </c>
      <c r="F76" t="s">
        <v>239</v>
      </c>
      <c r="G76">
        <v>3</v>
      </c>
      <c r="H76" t="s">
        <v>241</v>
      </c>
      <c r="I76" t="s">
        <v>245</v>
      </c>
      <c r="J76" t="s">
        <v>247</v>
      </c>
    </row>
    <row r="77" spans="1:10">
      <c r="A77" t="s">
        <v>85</v>
      </c>
      <c r="B77" t="s">
        <v>220</v>
      </c>
      <c r="C77" t="s">
        <v>234</v>
      </c>
      <c r="D77" s="1">
        <v>46254</v>
      </c>
      <c r="E77" t="s">
        <v>236</v>
      </c>
      <c r="F77" t="s">
        <v>239</v>
      </c>
      <c r="G77">
        <v>8</v>
      </c>
      <c r="H77" t="s">
        <v>241</v>
      </c>
      <c r="I77" t="s">
        <v>243</v>
      </c>
      <c r="J77" t="s">
        <v>249</v>
      </c>
    </row>
    <row r="78" spans="1:10">
      <c r="A78" t="s">
        <v>86</v>
      </c>
      <c r="B78" t="s">
        <v>225</v>
      </c>
      <c r="C78" t="s">
        <v>231</v>
      </c>
      <c r="D78" s="1">
        <v>46248</v>
      </c>
      <c r="E78" t="s">
        <v>235</v>
      </c>
      <c r="F78" t="s">
        <v>239</v>
      </c>
      <c r="G78">
        <v>6</v>
      </c>
      <c r="H78" t="s">
        <v>241</v>
      </c>
      <c r="I78" t="s">
        <v>245</v>
      </c>
      <c r="J78" t="s">
        <v>247</v>
      </c>
    </row>
    <row r="79" spans="1:10">
      <c r="A79" t="s">
        <v>87</v>
      </c>
      <c r="B79" t="s">
        <v>210</v>
      </c>
      <c r="C79" t="s">
        <v>230</v>
      </c>
      <c r="D79" s="1">
        <v>46235</v>
      </c>
      <c r="E79" t="s">
        <v>237</v>
      </c>
      <c r="F79" t="s">
        <v>239</v>
      </c>
      <c r="G79">
        <v>4</v>
      </c>
      <c r="H79" t="s">
        <v>241</v>
      </c>
      <c r="I79" t="s">
        <v>243</v>
      </c>
      <c r="J79" t="s">
        <v>247</v>
      </c>
    </row>
    <row r="80" spans="1:10">
      <c r="A80" t="s">
        <v>88</v>
      </c>
      <c r="B80" t="s">
        <v>224</v>
      </c>
      <c r="C80" t="s">
        <v>230</v>
      </c>
      <c r="D80" s="1">
        <v>46241</v>
      </c>
      <c r="E80" t="s">
        <v>238</v>
      </c>
      <c r="F80" t="s">
        <v>239</v>
      </c>
      <c r="G80">
        <v>6</v>
      </c>
      <c r="H80" t="s">
        <v>241</v>
      </c>
      <c r="I80" t="s">
        <v>244</v>
      </c>
      <c r="J80" t="s">
        <v>247</v>
      </c>
    </row>
    <row r="81" spans="1:10">
      <c r="A81" t="s">
        <v>89</v>
      </c>
      <c r="B81" t="s">
        <v>225</v>
      </c>
      <c r="C81" t="s">
        <v>234</v>
      </c>
      <c r="D81" s="1">
        <v>46289</v>
      </c>
      <c r="E81" t="s">
        <v>235</v>
      </c>
      <c r="F81" t="s">
        <v>239</v>
      </c>
      <c r="G81">
        <v>1</v>
      </c>
      <c r="H81" t="s">
        <v>241</v>
      </c>
      <c r="I81" t="s">
        <v>243</v>
      </c>
      <c r="J81" t="s">
        <v>249</v>
      </c>
    </row>
    <row r="82" spans="1:10">
      <c r="A82" t="s">
        <v>90</v>
      </c>
      <c r="B82" t="s">
        <v>227</v>
      </c>
      <c r="C82" t="s">
        <v>234</v>
      </c>
      <c r="D82" s="1">
        <v>46244</v>
      </c>
      <c r="E82" t="s">
        <v>235</v>
      </c>
      <c r="F82" t="s">
        <v>239</v>
      </c>
      <c r="G82">
        <v>6</v>
      </c>
      <c r="H82" t="s">
        <v>241</v>
      </c>
      <c r="I82" t="s">
        <v>245</v>
      </c>
      <c r="J82" t="s">
        <v>249</v>
      </c>
    </row>
    <row r="83" spans="1:10">
      <c r="A83" t="s">
        <v>91</v>
      </c>
      <c r="B83" t="s">
        <v>214</v>
      </c>
      <c r="C83" t="s">
        <v>231</v>
      </c>
      <c r="D83" s="1">
        <v>46274</v>
      </c>
      <c r="E83" t="s">
        <v>235</v>
      </c>
      <c r="F83" t="s">
        <v>239</v>
      </c>
      <c r="G83">
        <v>5</v>
      </c>
      <c r="H83" t="s">
        <v>241</v>
      </c>
      <c r="I83" t="s">
        <v>244</v>
      </c>
      <c r="J83" t="s">
        <v>246</v>
      </c>
    </row>
    <row r="84" spans="1:10">
      <c r="A84" t="s">
        <v>92</v>
      </c>
      <c r="B84" t="s">
        <v>227</v>
      </c>
      <c r="C84" t="s">
        <v>234</v>
      </c>
      <c r="D84" s="1">
        <v>46254</v>
      </c>
      <c r="E84" t="s">
        <v>237</v>
      </c>
      <c r="F84" t="s">
        <v>239</v>
      </c>
      <c r="G84">
        <v>6</v>
      </c>
      <c r="H84" t="s">
        <v>242</v>
      </c>
      <c r="I84" t="s">
        <v>244</v>
      </c>
      <c r="J84" t="s">
        <v>249</v>
      </c>
    </row>
    <row r="85" spans="1:10">
      <c r="A85" t="s">
        <v>93</v>
      </c>
      <c r="B85" t="s">
        <v>228</v>
      </c>
      <c r="C85" t="s">
        <v>233</v>
      </c>
      <c r="D85" s="1">
        <v>46240</v>
      </c>
      <c r="E85" t="s">
        <v>238</v>
      </c>
      <c r="F85" t="s">
        <v>239</v>
      </c>
      <c r="G85">
        <v>7</v>
      </c>
      <c r="H85" t="s">
        <v>241</v>
      </c>
      <c r="I85" t="s">
        <v>243</v>
      </c>
      <c r="J85" t="s">
        <v>248</v>
      </c>
    </row>
    <row r="86" spans="1:10">
      <c r="A86" t="s">
        <v>94</v>
      </c>
      <c r="B86" t="s">
        <v>222</v>
      </c>
      <c r="C86" t="s">
        <v>233</v>
      </c>
      <c r="D86" s="1">
        <v>46265</v>
      </c>
      <c r="E86" t="s">
        <v>235</v>
      </c>
      <c r="F86" t="s">
        <v>239</v>
      </c>
      <c r="G86">
        <v>4</v>
      </c>
      <c r="H86" t="s">
        <v>241</v>
      </c>
      <c r="I86" t="s">
        <v>243</v>
      </c>
      <c r="J86" t="s">
        <v>248</v>
      </c>
    </row>
    <row r="87" spans="1:10">
      <c r="A87" t="s">
        <v>95</v>
      </c>
      <c r="B87" t="s">
        <v>227</v>
      </c>
      <c r="C87" t="s">
        <v>232</v>
      </c>
      <c r="D87" s="1">
        <v>46285</v>
      </c>
      <c r="E87" t="s">
        <v>236</v>
      </c>
      <c r="F87" t="s">
        <v>240</v>
      </c>
      <c r="G87">
        <v>10</v>
      </c>
      <c r="H87" t="s">
        <v>242</v>
      </c>
      <c r="I87" t="s">
        <v>244</v>
      </c>
      <c r="J87" t="s">
        <v>248</v>
      </c>
    </row>
    <row r="88" spans="1:10">
      <c r="A88" t="s">
        <v>96</v>
      </c>
      <c r="B88" t="s">
        <v>221</v>
      </c>
      <c r="C88" t="s">
        <v>234</v>
      </c>
      <c r="D88" s="1">
        <v>46287</v>
      </c>
      <c r="E88" t="s">
        <v>235</v>
      </c>
      <c r="F88" t="s">
        <v>239</v>
      </c>
      <c r="G88">
        <v>2</v>
      </c>
      <c r="H88" t="s">
        <v>242</v>
      </c>
      <c r="I88" t="s">
        <v>243</v>
      </c>
      <c r="J88" t="s">
        <v>249</v>
      </c>
    </row>
    <row r="89" spans="1:10">
      <c r="A89" t="s">
        <v>97</v>
      </c>
      <c r="B89" t="s">
        <v>223</v>
      </c>
      <c r="C89" t="s">
        <v>231</v>
      </c>
      <c r="D89" s="1">
        <v>46253</v>
      </c>
      <c r="E89" t="s">
        <v>237</v>
      </c>
      <c r="F89" t="s">
        <v>239</v>
      </c>
      <c r="G89">
        <v>8</v>
      </c>
      <c r="H89" t="s">
        <v>241</v>
      </c>
      <c r="I89" t="s">
        <v>243</v>
      </c>
      <c r="J89" t="s">
        <v>246</v>
      </c>
    </row>
    <row r="90" spans="1:10">
      <c r="A90" t="s">
        <v>98</v>
      </c>
      <c r="B90" t="s">
        <v>216</v>
      </c>
      <c r="C90" t="s">
        <v>232</v>
      </c>
      <c r="D90" s="1">
        <v>46282</v>
      </c>
      <c r="E90" t="s">
        <v>236</v>
      </c>
      <c r="F90" t="s">
        <v>240</v>
      </c>
      <c r="G90">
        <v>10</v>
      </c>
      <c r="H90" t="s">
        <v>241</v>
      </c>
      <c r="I90" t="s">
        <v>244</v>
      </c>
      <c r="J90" t="s">
        <v>247</v>
      </c>
    </row>
    <row r="91" spans="1:10">
      <c r="A91" t="s">
        <v>99</v>
      </c>
      <c r="B91" t="s">
        <v>220</v>
      </c>
      <c r="C91" t="s">
        <v>230</v>
      </c>
      <c r="D91" s="1">
        <v>46283</v>
      </c>
      <c r="E91" t="s">
        <v>235</v>
      </c>
      <c r="F91" t="s">
        <v>240</v>
      </c>
      <c r="G91">
        <v>5</v>
      </c>
      <c r="H91" t="s">
        <v>242</v>
      </c>
      <c r="I91" t="s">
        <v>244</v>
      </c>
      <c r="J91" t="s">
        <v>249</v>
      </c>
    </row>
    <row r="92" spans="1:10">
      <c r="A92" t="s">
        <v>100</v>
      </c>
      <c r="B92" t="s">
        <v>212</v>
      </c>
      <c r="C92" t="s">
        <v>231</v>
      </c>
      <c r="D92" s="1">
        <v>46272</v>
      </c>
      <c r="E92" t="s">
        <v>235</v>
      </c>
      <c r="F92" t="s">
        <v>239</v>
      </c>
      <c r="G92">
        <v>3</v>
      </c>
      <c r="H92" t="s">
        <v>241</v>
      </c>
      <c r="I92" t="s">
        <v>244</v>
      </c>
      <c r="J92" t="s">
        <v>246</v>
      </c>
    </row>
    <row r="93" spans="1:10">
      <c r="A93" t="s">
        <v>101</v>
      </c>
      <c r="B93" t="s">
        <v>228</v>
      </c>
      <c r="C93" t="s">
        <v>230</v>
      </c>
      <c r="D93" s="1">
        <v>46289</v>
      </c>
      <c r="E93" t="s">
        <v>235</v>
      </c>
      <c r="F93" t="s">
        <v>239</v>
      </c>
      <c r="G93">
        <v>3</v>
      </c>
      <c r="H93" t="s">
        <v>241</v>
      </c>
      <c r="I93" t="s">
        <v>245</v>
      </c>
      <c r="J93" t="s">
        <v>246</v>
      </c>
    </row>
    <row r="94" spans="1:10">
      <c r="A94" t="s">
        <v>102</v>
      </c>
      <c r="B94" t="s">
        <v>216</v>
      </c>
      <c r="C94" t="s">
        <v>234</v>
      </c>
      <c r="D94" s="1">
        <v>46251</v>
      </c>
      <c r="E94" t="s">
        <v>235</v>
      </c>
      <c r="F94" t="s">
        <v>240</v>
      </c>
      <c r="G94">
        <v>5</v>
      </c>
      <c r="H94" t="s">
        <v>242</v>
      </c>
      <c r="I94" t="s">
        <v>243</v>
      </c>
      <c r="J94" t="s">
        <v>246</v>
      </c>
    </row>
    <row r="95" spans="1:10">
      <c r="A95" t="s">
        <v>103</v>
      </c>
      <c r="B95" t="s">
        <v>226</v>
      </c>
      <c r="C95" t="s">
        <v>233</v>
      </c>
      <c r="D95" s="1">
        <v>46261</v>
      </c>
      <c r="E95" t="s">
        <v>237</v>
      </c>
      <c r="F95" t="s">
        <v>239</v>
      </c>
      <c r="G95">
        <v>8</v>
      </c>
      <c r="H95" t="s">
        <v>241</v>
      </c>
      <c r="I95" t="s">
        <v>243</v>
      </c>
      <c r="J95" t="s">
        <v>247</v>
      </c>
    </row>
    <row r="96" spans="1:10">
      <c r="A96" t="s">
        <v>104</v>
      </c>
      <c r="B96" t="s">
        <v>210</v>
      </c>
      <c r="C96" t="s">
        <v>233</v>
      </c>
      <c r="D96" s="1">
        <v>46252</v>
      </c>
      <c r="E96" t="s">
        <v>237</v>
      </c>
      <c r="F96" t="s">
        <v>239</v>
      </c>
      <c r="G96">
        <v>8</v>
      </c>
      <c r="H96" t="s">
        <v>241</v>
      </c>
      <c r="I96" t="s">
        <v>243</v>
      </c>
      <c r="J96" t="s">
        <v>247</v>
      </c>
    </row>
    <row r="97" spans="1:10">
      <c r="A97" t="s">
        <v>105</v>
      </c>
      <c r="B97" t="s">
        <v>214</v>
      </c>
      <c r="C97" t="s">
        <v>234</v>
      </c>
      <c r="D97" s="1">
        <v>46273</v>
      </c>
      <c r="E97" t="s">
        <v>237</v>
      </c>
      <c r="F97" t="s">
        <v>239</v>
      </c>
      <c r="G97">
        <v>2</v>
      </c>
      <c r="H97" t="s">
        <v>242</v>
      </c>
      <c r="I97" t="s">
        <v>244</v>
      </c>
      <c r="J97" t="s">
        <v>248</v>
      </c>
    </row>
    <row r="98" spans="1:10">
      <c r="A98" t="s">
        <v>106</v>
      </c>
      <c r="B98" t="s">
        <v>221</v>
      </c>
      <c r="C98" t="s">
        <v>232</v>
      </c>
      <c r="D98" s="1">
        <v>46242</v>
      </c>
      <c r="E98" t="s">
        <v>236</v>
      </c>
      <c r="F98" t="s">
        <v>240</v>
      </c>
      <c r="G98">
        <v>4</v>
      </c>
      <c r="H98" t="s">
        <v>242</v>
      </c>
      <c r="I98" t="s">
        <v>245</v>
      </c>
      <c r="J98" t="s">
        <v>247</v>
      </c>
    </row>
    <row r="99" spans="1:10">
      <c r="A99" t="s">
        <v>107</v>
      </c>
      <c r="B99" t="s">
        <v>221</v>
      </c>
      <c r="C99" t="s">
        <v>233</v>
      </c>
      <c r="D99" s="1">
        <v>46270</v>
      </c>
      <c r="E99" t="s">
        <v>236</v>
      </c>
      <c r="F99" t="s">
        <v>239</v>
      </c>
      <c r="G99">
        <v>10</v>
      </c>
      <c r="H99" t="s">
        <v>241</v>
      </c>
      <c r="I99" t="s">
        <v>245</v>
      </c>
      <c r="J99" t="s">
        <v>248</v>
      </c>
    </row>
    <row r="100" spans="1:10">
      <c r="A100" t="s">
        <v>108</v>
      </c>
      <c r="B100" t="s">
        <v>216</v>
      </c>
      <c r="C100" t="s">
        <v>233</v>
      </c>
      <c r="D100" s="1">
        <v>46261</v>
      </c>
      <c r="E100" t="s">
        <v>235</v>
      </c>
      <c r="F100" t="s">
        <v>240</v>
      </c>
      <c r="G100">
        <v>1</v>
      </c>
      <c r="H100" t="s">
        <v>241</v>
      </c>
      <c r="I100" t="s">
        <v>244</v>
      </c>
      <c r="J100" t="s">
        <v>247</v>
      </c>
    </row>
    <row r="101" spans="1:10">
      <c r="A101" t="s">
        <v>109</v>
      </c>
      <c r="B101" t="s">
        <v>225</v>
      </c>
      <c r="C101" t="s">
        <v>230</v>
      </c>
      <c r="D101" s="1">
        <v>46277</v>
      </c>
      <c r="E101" t="s">
        <v>235</v>
      </c>
      <c r="F101" t="s">
        <v>239</v>
      </c>
      <c r="G101">
        <v>5</v>
      </c>
      <c r="H101" t="s">
        <v>241</v>
      </c>
      <c r="I101" t="s">
        <v>243</v>
      </c>
      <c r="J101" t="s">
        <v>246</v>
      </c>
    </row>
    <row r="102" spans="1:10">
      <c r="A102" t="s">
        <v>110</v>
      </c>
      <c r="B102" t="s">
        <v>211</v>
      </c>
      <c r="C102" t="s">
        <v>233</v>
      </c>
      <c r="D102" s="1">
        <v>46255</v>
      </c>
      <c r="E102" t="s">
        <v>235</v>
      </c>
      <c r="F102" t="s">
        <v>239</v>
      </c>
      <c r="G102">
        <v>5</v>
      </c>
      <c r="H102" t="s">
        <v>241</v>
      </c>
      <c r="I102" t="s">
        <v>244</v>
      </c>
      <c r="J102" t="s">
        <v>248</v>
      </c>
    </row>
    <row r="103" spans="1:10">
      <c r="A103" t="s">
        <v>111</v>
      </c>
      <c r="B103" t="s">
        <v>229</v>
      </c>
      <c r="C103" t="s">
        <v>233</v>
      </c>
      <c r="D103" s="1">
        <v>46280</v>
      </c>
      <c r="E103" t="s">
        <v>235</v>
      </c>
      <c r="F103" t="s">
        <v>240</v>
      </c>
      <c r="G103">
        <v>4</v>
      </c>
      <c r="H103" t="s">
        <v>241</v>
      </c>
      <c r="I103" t="s">
        <v>245</v>
      </c>
      <c r="J103" t="s">
        <v>248</v>
      </c>
    </row>
    <row r="104" spans="1:10">
      <c r="A104" t="s">
        <v>112</v>
      </c>
      <c r="B104" t="s">
        <v>219</v>
      </c>
      <c r="C104" t="s">
        <v>234</v>
      </c>
      <c r="D104" s="1">
        <v>46263</v>
      </c>
      <c r="E104" t="s">
        <v>238</v>
      </c>
      <c r="F104" t="s">
        <v>239</v>
      </c>
      <c r="G104">
        <v>9</v>
      </c>
      <c r="H104" t="s">
        <v>241</v>
      </c>
      <c r="I104" t="s">
        <v>244</v>
      </c>
      <c r="J104" t="s">
        <v>246</v>
      </c>
    </row>
    <row r="105" spans="1:10">
      <c r="A105" t="s">
        <v>113</v>
      </c>
      <c r="B105" t="s">
        <v>229</v>
      </c>
      <c r="C105" t="s">
        <v>230</v>
      </c>
      <c r="D105" s="1">
        <v>46274</v>
      </c>
      <c r="E105" t="s">
        <v>236</v>
      </c>
      <c r="F105" t="s">
        <v>240</v>
      </c>
      <c r="G105">
        <v>5</v>
      </c>
      <c r="H105" t="s">
        <v>242</v>
      </c>
      <c r="I105" t="s">
        <v>244</v>
      </c>
      <c r="J105" t="s">
        <v>249</v>
      </c>
    </row>
    <row r="106" spans="1:10">
      <c r="A106" t="s">
        <v>114</v>
      </c>
      <c r="B106" t="s">
        <v>225</v>
      </c>
      <c r="C106" t="s">
        <v>232</v>
      </c>
      <c r="D106" s="1">
        <v>46283</v>
      </c>
      <c r="E106" t="s">
        <v>237</v>
      </c>
      <c r="F106" t="s">
        <v>240</v>
      </c>
      <c r="G106">
        <v>5</v>
      </c>
      <c r="H106" t="s">
        <v>242</v>
      </c>
      <c r="I106" t="s">
        <v>244</v>
      </c>
      <c r="J106" t="s">
        <v>249</v>
      </c>
    </row>
    <row r="107" spans="1:10">
      <c r="A107" t="s">
        <v>115</v>
      </c>
      <c r="B107" t="s">
        <v>215</v>
      </c>
      <c r="C107" t="s">
        <v>233</v>
      </c>
      <c r="D107" s="1">
        <v>46282</v>
      </c>
      <c r="E107" t="s">
        <v>235</v>
      </c>
      <c r="F107" t="s">
        <v>239</v>
      </c>
      <c r="G107">
        <v>3</v>
      </c>
      <c r="H107" t="s">
        <v>242</v>
      </c>
      <c r="I107" t="s">
        <v>245</v>
      </c>
      <c r="J107" t="s">
        <v>249</v>
      </c>
    </row>
    <row r="108" spans="1:10">
      <c r="A108" t="s">
        <v>116</v>
      </c>
      <c r="B108" t="s">
        <v>226</v>
      </c>
      <c r="C108" t="s">
        <v>230</v>
      </c>
      <c r="D108" s="1">
        <v>46285</v>
      </c>
      <c r="E108" t="s">
        <v>235</v>
      </c>
      <c r="F108" t="s">
        <v>239</v>
      </c>
      <c r="G108">
        <v>1</v>
      </c>
      <c r="H108" t="s">
        <v>241</v>
      </c>
      <c r="I108" t="s">
        <v>245</v>
      </c>
      <c r="J108" t="s">
        <v>247</v>
      </c>
    </row>
    <row r="109" spans="1:10">
      <c r="A109" t="s">
        <v>117</v>
      </c>
      <c r="B109" t="s">
        <v>228</v>
      </c>
      <c r="C109" t="s">
        <v>232</v>
      </c>
      <c r="D109" s="1">
        <v>46285</v>
      </c>
      <c r="E109" t="s">
        <v>235</v>
      </c>
      <c r="F109" t="s">
        <v>239</v>
      </c>
      <c r="G109">
        <v>4</v>
      </c>
      <c r="H109" t="s">
        <v>241</v>
      </c>
      <c r="I109" t="s">
        <v>243</v>
      </c>
      <c r="J109" t="s">
        <v>248</v>
      </c>
    </row>
    <row r="110" spans="1:10">
      <c r="A110" t="s">
        <v>118</v>
      </c>
      <c r="B110" t="s">
        <v>223</v>
      </c>
      <c r="C110" t="s">
        <v>230</v>
      </c>
      <c r="D110" s="1">
        <v>46249</v>
      </c>
      <c r="E110" t="s">
        <v>236</v>
      </c>
      <c r="F110" t="s">
        <v>239</v>
      </c>
      <c r="G110">
        <v>6</v>
      </c>
      <c r="H110" t="s">
        <v>241</v>
      </c>
      <c r="I110" t="s">
        <v>244</v>
      </c>
      <c r="J110" t="s">
        <v>247</v>
      </c>
    </row>
    <row r="111" spans="1:10">
      <c r="A111" t="s">
        <v>119</v>
      </c>
      <c r="B111" t="s">
        <v>210</v>
      </c>
      <c r="C111" t="s">
        <v>234</v>
      </c>
      <c r="D111" s="1">
        <v>46278</v>
      </c>
      <c r="E111" t="s">
        <v>235</v>
      </c>
      <c r="F111" t="s">
        <v>239</v>
      </c>
      <c r="G111">
        <v>4</v>
      </c>
      <c r="H111" t="s">
        <v>242</v>
      </c>
      <c r="I111" t="s">
        <v>243</v>
      </c>
      <c r="J111" t="s">
        <v>249</v>
      </c>
    </row>
    <row r="112" spans="1:10">
      <c r="A112" t="s">
        <v>120</v>
      </c>
      <c r="B112" t="s">
        <v>223</v>
      </c>
      <c r="C112" t="s">
        <v>234</v>
      </c>
      <c r="D112" s="1">
        <v>46251</v>
      </c>
      <c r="E112" t="s">
        <v>237</v>
      </c>
      <c r="F112" t="s">
        <v>240</v>
      </c>
      <c r="G112">
        <v>4</v>
      </c>
      <c r="H112" t="s">
        <v>241</v>
      </c>
      <c r="I112" t="s">
        <v>245</v>
      </c>
      <c r="J112" t="s">
        <v>248</v>
      </c>
    </row>
    <row r="113" spans="1:10">
      <c r="A113" t="s">
        <v>121</v>
      </c>
      <c r="B113" t="s">
        <v>222</v>
      </c>
      <c r="C113" t="s">
        <v>234</v>
      </c>
      <c r="D113" s="1">
        <v>46271</v>
      </c>
      <c r="E113" t="s">
        <v>237</v>
      </c>
      <c r="F113" t="s">
        <v>239</v>
      </c>
      <c r="G113">
        <v>5</v>
      </c>
      <c r="H113" t="s">
        <v>241</v>
      </c>
      <c r="I113" t="s">
        <v>244</v>
      </c>
      <c r="J113" t="s">
        <v>247</v>
      </c>
    </row>
    <row r="114" spans="1:10">
      <c r="A114" t="s">
        <v>122</v>
      </c>
      <c r="B114" t="s">
        <v>218</v>
      </c>
      <c r="C114" t="s">
        <v>230</v>
      </c>
      <c r="D114" s="1">
        <v>46238</v>
      </c>
      <c r="E114" t="s">
        <v>238</v>
      </c>
      <c r="F114" t="s">
        <v>240</v>
      </c>
      <c r="G114">
        <v>8</v>
      </c>
      <c r="H114" t="s">
        <v>241</v>
      </c>
      <c r="I114" t="s">
        <v>244</v>
      </c>
      <c r="J114" t="s">
        <v>246</v>
      </c>
    </row>
    <row r="115" spans="1:10">
      <c r="A115" t="s">
        <v>123</v>
      </c>
      <c r="B115" t="s">
        <v>211</v>
      </c>
      <c r="C115" t="s">
        <v>232</v>
      </c>
      <c r="D115" s="1">
        <v>46275</v>
      </c>
      <c r="E115" t="s">
        <v>237</v>
      </c>
      <c r="F115" t="s">
        <v>239</v>
      </c>
      <c r="G115">
        <v>8</v>
      </c>
      <c r="H115" t="s">
        <v>241</v>
      </c>
      <c r="I115" t="s">
        <v>244</v>
      </c>
      <c r="J115" t="s">
        <v>247</v>
      </c>
    </row>
    <row r="116" spans="1:10">
      <c r="A116" t="s">
        <v>124</v>
      </c>
      <c r="B116" t="s">
        <v>221</v>
      </c>
      <c r="C116" t="s">
        <v>231</v>
      </c>
      <c r="D116" s="1">
        <v>46281</v>
      </c>
      <c r="E116" t="s">
        <v>236</v>
      </c>
      <c r="F116" t="s">
        <v>240</v>
      </c>
      <c r="G116">
        <v>3</v>
      </c>
      <c r="H116" t="s">
        <v>241</v>
      </c>
      <c r="I116" t="s">
        <v>243</v>
      </c>
      <c r="J116" t="s">
        <v>247</v>
      </c>
    </row>
    <row r="117" spans="1:10">
      <c r="A117" t="s">
        <v>125</v>
      </c>
      <c r="B117" t="s">
        <v>217</v>
      </c>
      <c r="C117" t="s">
        <v>232</v>
      </c>
      <c r="D117" s="1">
        <v>46258</v>
      </c>
      <c r="E117" t="s">
        <v>237</v>
      </c>
      <c r="F117" t="s">
        <v>239</v>
      </c>
      <c r="G117">
        <v>3</v>
      </c>
      <c r="H117" t="s">
        <v>241</v>
      </c>
      <c r="I117" t="s">
        <v>244</v>
      </c>
      <c r="J117" t="s">
        <v>247</v>
      </c>
    </row>
    <row r="118" spans="1:10">
      <c r="A118" t="s">
        <v>126</v>
      </c>
      <c r="B118" t="s">
        <v>216</v>
      </c>
      <c r="C118" t="s">
        <v>231</v>
      </c>
      <c r="D118" s="1">
        <v>46289</v>
      </c>
      <c r="E118" t="s">
        <v>235</v>
      </c>
      <c r="F118" t="s">
        <v>240</v>
      </c>
      <c r="G118">
        <v>4</v>
      </c>
      <c r="H118" t="s">
        <v>242</v>
      </c>
      <c r="I118" t="s">
        <v>243</v>
      </c>
      <c r="J118" t="s">
        <v>246</v>
      </c>
    </row>
    <row r="119" spans="1:10">
      <c r="A119" t="s">
        <v>127</v>
      </c>
      <c r="B119" t="s">
        <v>210</v>
      </c>
      <c r="C119" t="s">
        <v>230</v>
      </c>
      <c r="D119" s="1">
        <v>46289</v>
      </c>
      <c r="E119" t="s">
        <v>235</v>
      </c>
      <c r="F119" t="s">
        <v>240</v>
      </c>
      <c r="G119">
        <v>6</v>
      </c>
      <c r="H119" t="s">
        <v>241</v>
      </c>
      <c r="I119" t="s">
        <v>245</v>
      </c>
      <c r="J119" t="s">
        <v>249</v>
      </c>
    </row>
    <row r="120" spans="1:10">
      <c r="A120" t="s">
        <v>128</v>
      </c>
      <c r="B120" t="s">
        <v>220</v>
      </c>
      <c r="C120" t="s">
        <v>234</v>
      </c>
      <c r="D120" s="1">
        <v>46282</v>
      </c>
      <c r="E120" t="s">
        <v>235</v>
      </c>
      <c r="F120" t="s">
        <v>239</v>
      </c>
      <c r="G120">
        <v>4</v>
      </c>
      <c r="H120" t="s">
        <v>241</v>
      </c>
      <c r="I120" t="s">
        <v>244</v>
      </c>
      <c r="J120" t="s">
        <v>246</v>
      </c>
    </row>
    <row r="121" spans="1:10">
      <c r="A121" t="s">
        <v>129</v>
      </c>
      <c r="B121" t="s">
        <v>216</v>
      </c>
      <c r="C121" t="s">
        <v>232</v>
      </c>
      <c r="D121" s="1">
        <v>46270</v>
      </c>
      <c r="E121" t="s">
        <v>235</v>
      </c>
      <c r="F121" t="s">
        <v>239</v>
      </c>
      <c r="G121">
        <v>1</v>
      </c>
      <c r="H121" t="s">
        <v>241</v>
      </c>
      <c r="I121" t="s">
        <v>244</v>
      </c>
      <c r="J121" t="s">
        <v>248</v>
      </c>
    </row>
    <row r="122" spans="1:10">
      <c r="A122" t="s">
        <v>130</v>
      </c>
      <c r="B122" t="s">
        <v>226</v>
      </c>
      <c r="C122" t="s">
        <v>230</v>
      </c>
      <c r="D122" s="1">
        <v>46237</v>
      </c>
      <c r="E122" t="s">
        <v>236</v>
      </c>
      <c r="F122" t="s">
        <v>239</v>
      </c>
      <c r="G122">
        <v>7</v>
      </c>
      <c r="H122" t="s">
        <v>241</v>
      </c>
      <c r="I122" t="s">
        <v>245</v>
      </c>
      <c r="J122" t="s">
        <v>246</v>
      </c>
    </row>
    <row r="123" spans="1:10">
      <c r="A123" t="s">
        <v>131</v>
      </c>
      <c r="B123" t="s">
        <v>210</v>
      </c>
      <c r="C123" t="s">
        <v>230</v>
      </c>
      <c r="D123" s="1">
        <v>46282</v>
      </c>
      <c r="E123" t="s">
        <v>235</v>
      </c>
      <c r="F123" t="s">
        <v>240</v>
      </c>
      <c r="G123">
        <v>2</v>
      </c>
      <c r="H123" t="s">
        <v>241</v>
      </c>
      <c r="I123" t="s">
        <v>245</v>
      </c>
      <c r="J123" t="s">
        <v>248</v>
      </c>
    </row>
    <row r="124" spans="1:10">
      <c r="A124" t="s">
        <v>132</v>
      </c>
      <c r="B124" t="s">
        <v>223</v>
      </c>
      <c r="C124" t="s">
        <v>234</v>
      </c>
      <c r="D124" s="1">
        <v>46248</v>
      </c>
      <c r="E124" t="s">
        <v>236</v>
      </c>
      <c r="F124" t="s">
        <v>240</v>
      </c>
      <c r="G124">
        <v>9</v>
      </c>
      <c r="H124" t="s">
        <v>241</v>
      </c>
      <c r="I124" t="s">
        <v>245</v>
      </c>
      <c r="J124" t="s">
        <v>248</v>
      </c>
    </row>
    <row r="125" spans="1:10">
      <c r="A125" t="s">
        <v>133</v>
      </c>
      <c r="B125" t="s">
        <v>213</v>
      </c>
      <c r="C125" t="s">
        <v>232</v>
      </c>
      <c r="D125" s="1">
        <v>46276</v>
      </c>
      <c r="E125" t="s">
        <v>235</v>
      </c>
      <c r="F125" t="s">
        <v>239</v>
      </c>
      <c r="G125">
        <v>5</v>
      </c>
      <c r="H125" t="s">
        <v>242</v>
      </c>
      <c r="I125" t="s">
        <v>243</v>
      </c>
      <c r="J125" t="s">
        <v>246</v>
      </c>
    </row>
    <row r="126" spans="1:10">
      <c r="A126" t="s">
        <v>134</v>
      </c>
      <c r="B126" t="s">
        <v>218</v>
      </c>
      <c r="C126" t="s">
        <v>232</v>
      </c>
      <c r="D126" s="1">
        <v>46248</v>
      </c>
      <c r="E126" t="s">
        <v>235</v>
      </c>
      <c r="F126" t="s">
        <v>239</v>
      </c>
      <c r="G126">
        <v>4</v>
      </c>
      <c r="H126" t="s">
        <v>241</v>
      </c>
      <c r="I126" t="s">
        <v>243</v>
      </c>
      <c r="J126" t="s">
        <v>249</v>
      </c>
    </row>
    <row r="127" spans="1:10">
      <c r="A127" t="s">
        <v>135</v>
      </c>
      <c r="B127" t="s">
        <v>210</v>
      </c>
      <c r="C127" t="s">
        <v>232</v>
      </c>
      <c r="D127" s="1">
        <v>46288</v>
      </c>
      <c r="E127" t="s">
        <v>235</v>
      </c>
      <c r="F127" t="s">
        <v>239</v>
      </c>
      <c r="G127">
        <v>5</v>
      </c>
      <c r="H127" t="s">
        <v>241</v>
      </c>
      <c r="I127" t="s">
        <v>243</v>
      </c>
      <c r="J127" t="s">
        <v>248</v>
      </c>
    </row>
    <row r="128" spans="1:10">
      <c r="A128" t="s">
        <v>136</v>
      </c>
      <c r="B128" t="s">
        <v>221</v>
      </c>
      <c r="C128" t="s">
        <v>231</v>
      </c>
      <c r="D128" s="1">
        <v>46289</v>
      </c>
      <c r="E128" t="s">
        <v>235</v>
      </c>
      <c r="F128" t="s">
        <v>239</v>
      </c>
      <c r="G128">
        <v>5</v>
      </c>
      <c r="H128" t="s">
        <v>241</v>
      </c>
      <c r="I128" t="s">
        <v>243</v>
      </c>
      <c r="J128" t="s">
        <v>247</v>
      </c>
    </row>
    <row r="129" spans="1:10">
      <c r="A129" t="s">
        <v>137</v>
      </c>
      <c r="B129" t="s">
        <v>227</v>
      </c>
      <c r="C129" t="s">
        <v>231</v>
      </c>
      <c r="D129" s="1">
        <v>46250</v>
      </c>
      <c r="E129" t="s">
        <v>235</v>
      </c>
      <c r="F129" t="s">
        <v>240</v>
      </c>
      <c r="G129">
        <v>2</v>
      </c>
      <c r="H129" t="s">
        <v>241</v>
      </c>
      <c r="I129" t="s">
        <v>245</v>
      </c>
      <c r="J129" t="s">
        <v>249</v>
      </c>
    </row>
    <row r="130" spans="1:10">
      <c r="A130" t="s">
        <v>138</v>
      </c>
      <c r="B130" t="s">
        <v>215</v>
      </c>
      <c r="C130" t="s">
        <v>231</v>
      </c>
      <c r="D130" s="1">
        <v>46282</v>
      </c>
      <c r="E130" t="s">
        <v>235</v>
      </c>
      <c r="F130" t="s">
        <v>239</v>
      </c>
      <c r="G130">
        <v>4</v>
      </c>
      <c r="H130" t="s">
        <v>241</v>
      </c>
      <c r="I130" t="s">
        <v>245</v>
      </c>
      <c r="J130" t="s">
        <v>246</v>
      </c>
    </row>
    <row r="131" spans="1:10">
      <c r="A131" t="s">
        <v>139</v>
      </c>
      <c r="B131" t="s">
        <v>226</v>
      </c>
      <c r="C131" t="s">
        <v>232</v>
      </c>
      <c r="D131" s="1">
        <v>46274</v>
      </c>
      <c r="E131" t="s">
        <v>235</v>
      </c>
      <c r="F131" t="s">
        <v>239</v>
      </c>
      <c r="G131">
        <v>5</v>
      </c>
      <c r="H131" t="s">
        <v>241</v>
      </c>
      <c r="I131" t="s">
        <v>244</v>
      </c>
      <c r="J131" t="s">
        <v>247</v>
      </c>
    </row>
    <row r="132" spans="1:10">
      <c r="A132" t="s">
        <v>140</v>
      </c>
      <c r="B132" t="s">
        <v>225</v>
      </c>
      <c r="C132" t="s">
        <v>234</v>
      </c>
      <c r="D132" s="1">
        <v>46241</v>
      </c>
      <c r="E132" t="s">
        <v>236</v>
      </c>
      <c r="F132" t="s">
        <v>239</v>
      </c>
      <c r="G132">
        <v>10</v>
      </c>
      <c r="H132" t="s">
        <v>241</v>
      </c>
      <c r="I132" t="s">
        <v>244</v>
      </c>
      <c r="J132" t="s">
        <v>246</v>
      </c>
    </row>
    <row r="133" spans="1:10">
      <c r="A133" t="s">
        <v>141</v>
      </c>
      <c r="B133" t="s">
        <v>218</v>
      </c>
      <c r="C133" t="s">
        <v>230</v>
      </c>
      <c r="D133" s="1">
        <v>46252</v>
      </c>
      <c r="E133" t="s">
        <v>237</v>
      </c>
      <c r="F133" t="s">
        <v>239</v>
      </c>
      <c r="G133">
        <v>3</v>
      </c>
      <c r="H133" t="s">
        <v>241</v>
      </c>
      <c r="I133" t="s">
        <v>244</v>
      </c>
      <c r="J133" t="s">
        <v>247</v>
      </c>
    </row>
    <row r="134" spans="1:10">
      <c r="A134" t="s">
        <v>142</v>
      </c>
      <c r="B134" t="s">
        <v>219</v>
      </c>
      <c r="C134" t="s">
        <v>234</v>
      </c>
      <c r="D134" s="1">
        <v>46285</v>
      </c>
      <c r="E134" t="s">
        <v>238</v>
      </c>
      <c r="F134" t="s">
        <v>239</v>
      </c>
      <c r="G134">
        <v>11</v>
      </c>
      <c r="H134" t="s">
        <v>241</v>
      </c>
      <c r="I134" t="s">
        <v>244</v>
      </c>
      <c r="J134" t="s">
        <v>248</v>
      </c>
    </row>
    <row r="135" spans="1:10">
      <c r="A135" t="s">
        <v>143</v>
      </c>
      <c r="B135" t="s">
        <v>212</v>
      </c>
      <c r="C135" t="s">
        <v>234</v>
      </c>
      <c r="D135" s="1">
        <v>46260</v>
      </c>
      <c r="E135" t="s">
        <v>235</v>
      </c>
      <c r="F135" t="s">
        <v>239</v>
      </c>
      <c r="G135">
        <v>3</v>
      </c>
      <c r="H135" t="s">
        <v>241</v>
      </c>
      <c r="I135" t="s">
        <v>244</v>
      </c>
      <c r="J135" t="s">
        <v>249</v>
      </c>
    </row>
    <row r="136" spans="1:10">
      <c r="A136" t="s">
        <v>144</v>
      </c>
      <c r="B136" t="s">
        <v>225</v>
      </c>
      <c r="C136" t="s">
        <v>232</v>
      </c>
      <c r="D136" s="1">
        <v>46278</v>
      </c>
      <c r="E136" t="s">
        <v>235</v>
      </c>
      <c r="F136" t="s">
        <v>239</v>
      </c>
      <c r="G136">
        <v>3</v>
      </c>
      <c r="H136" t="s">
        <v>242</v>
      </c>
      <c r="I136" t="s">
        <v>243</v>
      </c>
      <c r="J136" t="s">
        <v>249</v>
      </c>
    </row>
    <row r="137" spans="1:10">
      <c r="A137" t="s">
        <v>145</v>
      </c>
      <c r="B137" t="s">
        <v>210</v>
      </c>
      <c r="C137" t="s">
        <v>230</v>
      </c>
      <c r="D137" s="1">
        <v>46243</v>
      </c>
      <c r="E137" t="s">
        <v>235</v>
      </c>
      <c r="F137" t="s">
        <v>239</v>
      </c>
      <c r="G137">
        <v>6</v>
      </c>
      <c r="H137" t="s">
        <v>241</v>
      </c>
      <c r="I137" t="s">
        <v>243</v>
      </c>
      <c r="J137" t="s">
        <v>247</v>
      </c>
    </row>
    <row r="138" spans="1:10">
      <c r="A138" t="s">
        <v>146</v>
      </c>
      <c r="B138" t="s">
        <v>218</v>
      </c>
      <c r="C138" t="s">
        <v>230</v>
      </c>
      <c r="D138" s="1">
        <v>46253</v>
      </c>
      <c r="E138" t="s">
        <v>235</v>
      </c>
      <c r="F138" t="s">
        <v>240</v>
      </c>
      <c r="G138">
        <v>4</v>
      </c>
      <c r="H138" t="s">
        <v>241</v>
      </c>
      <c r="I138" t="s">
        <v>245</v>
      </c>
      <c r="J138" t="s">
        <v>247</v>
      </c>
    </row>
    <row r="139" spans="1:10">
      <c r="A139" t="s">
        <v>147</v>
      </c>
      <c r="B139" t="s">
        <v>219</v>
      </c>
      <c r="C139" t="s">
        <v>230</v>
      </c>
      <c r="D139" s="1">
        <v>46258</v>
      </c>
      <c r="E139" t="s">
        <v>236</v>
      </c>
      <c r="F139" t="s">
        <v>240</v>
      </c>
      <c r="G139">
        <v>10</v>
      </c>
      <c r="H139" t="s">
        <v>241</v>
      </c>
      <c r="I139" t="s">
        <v>245</v>
      </c>
      <c r="J139" t="s">
        <v>248</v>
      </c>
    </row>
    <row r="140" spans="1:10">
      <c r="A140" t="s">
        <v>148</v>
      </c>
      <c r="B140" t="s">
        <v>224</v>
      </c>
      <c r="C140" t="s">
        <v>234</v>
      </c>
      <c r="D140" s="1">
        <v>46270</v>
      </c>
      <c r="E140" t="s">
        <v>237</v>
      </c>
      <c r="F140" t="s">
        <v>240</v>
      </c>
      <c r="G140">
        <v>8</v>
      </c>
      <c r="H140" t="s">
        <v>241</v>
      </c>
      <c r="I140" t="s">
        <v>244</v>
      </c>
      <c r="J140" t="s">
        <v>247</v>
      </c>
    </row>
    <row r="141" spans="1:10">
      <c r="A141" t="s">
        <v>149</v>
      </c>
      <c r="B141" t="s">
        <v>224</v>
      </c>
      <c r="C141" t="s">
        <v>230</v>
      </c>
      <c r="D141" s="1">
        <v>46257</v>
      </c>
      <c r="E141" t="s">
        <v>235</v>
      </c>
      <c r="F141" t="s">
        <v>239</v>
      </c>
      <c r="G141">
        <v>3</v>
      </c>
      <c r="H141" t="s">
        <v>242</v>
      </c>
      <c r="I141" t="s">
        <v>243</v>
      </c>
      <c r="J141" t="s">
        <v>248</v>
      </c>
    </row>
    <row r="142" spans="1:10">
      <c r="A142" t="s">
        <v>150</v>
      </c>
      <c r="B142" t="s">
        <v>216</v>
      </c>
      <c r="C142" t="s">
        <v>233</v>
      </c>
      <c r="D142" s="1">
        <v>46264</v>
      </c>
      <c r="E142" t="s">
        <v>236</v>
      </c>
      <c r="F142" t="s">
        <v>240</v>
      </c>
      <c r="G142">
        <v>3</v>
      </c>
      <c r="H142" t="s">
        <v>241</v>
      </c>
      <c r="I142" t="s">
        <v>243</v>
      </c>
      <c r="J142" t="s">
        <v>247</v>
      </c>
    </row>
    <row r="143" spans="1:10">
      <c r="A143" t="s">
        <v>151</v>
      </c>
      <c r="B143" t="s">
        <v>218</v>
      </c>
      <c r="C143" t="s">
        <v>232</v>
      </c>
      <c r="D143" s="1">
        <v>46283</v>
      </c>
      <c r="E143" t="s">
        <v>236</v>
      </c>
      <c r="F143" t="s">
        <v>239</v>
      </c>
      <c r="G143">
        <v>4</v>
      </c>
      <c r="H143" t="s">
        <v>241</v>
      </c>
      <c r="I143" t="s">
        <v>243</v>
      </c>
      <c r="J143" t="s">
        <v>249</v>
      </c>
    </row>
    <row r="144" spans="1:10">
      <c r="A144" t="s">
        <v>152</v>
      </c>
      <c r="B144" t="s">
        <v>211</v>
      </c>
      <c r="C144" t="s">
        <v>232</v>
      </c>
      <c r="D144" s="1">
        <v>46252</v>
      </c>
      <c r="E144" t="s">
        <v>235</v>
      </c>
      <c r="F144" t="s">
        <v>239</v>
      </c>
      <c r="G144">
        <v>5</v>
      </c>
      <c r="H144" t="s">
        <v>241</v>
      </c>
      <c r="I144" t="s">
        <v>244</v>
      </c>
      <c r="J144" t="s">
        <v>249</v>
      </c>
    </row>
    <row r="145" spans="1:10">
      <c r="A145" t="s">
        <v>153</v>
      </c>
      <c r="B145" t="s">
        <v>222</v>
      </c>
      <c r="C145" t="s">
        <v>232</v>
      </c>
      <c r="D145" s="1">
        <v>46268</v>
      </c>
      <c r="E145" t="s">
        <v>235</v>
      </c>
      <c r="F145" t="s">
        <v>239</v>
      </c>
      <c r="G145">
        <v>6</v>
      </c>
      <c r="H145" t="s">
        <v>241</v>
      </c>
      <c r="I145" t="s">
        <v>243</v>
      </c>
      <c r="J145" t="s">
        <v>248</v>
      </c>
    </row>
    <row r="146" spans="1:10">
      <c r="A146" t="s">
        <v>154</v>
      </c>
      <c r="B146" t="s">
        <v>222</v>
      </c>
      <c r="C146" t="s">
        <v>234</v>
      </c>
      <c r="D146" s="1">
        <v>46251</v>
      </c>
      <c r="E146" t="s">
        <v>238</v>
      </c>
      <c r="F146" t="s">
        <v>240</v>
      </c>
      <c r="G146">
        <v>7</v>
      </c>
      <c r="H146" t="s">
        <v>242</v>
      </c>
      <c r="I146" t="s">
        <v>245</v>
      </c>
      <c r="J146" t="s">
        <v>249</v>
      </c>
    </row>
    <row r="147" spans="1:10">
      <c r="A147" t="s">
        <v>155</v>
      </c>
      <c r="B147" t="s">
        <v>214</v>
      </c>
      <c r="C147" t="s">
        <v>230</v>
      </c>
      <c r="D147" s="1">
        <v>46280</v>
      </c>
      <c r="E147" t="s">
        <v>235</v>
      </c>
      <c r="F147" t="s">
        <v>239</v>
      </c>
      <c r="G147">
        <v>2</v>
      </c>
      <c r="H147" t="s">
        <v>241</v>
      </c>
      <c r="I147" t="s">
        <v>244</v>
      </c>
      <c r="J147" t="s">
        <v>247</v>
      </c>
    </row>
    <row r="148" spans="1:10">
      <c r="A148" t="s">
        <v>156</v>
      </c>
      <c r="B148" t="s">
        <v>216</v>
      </c>
      <c r="C148" t="s">
        <v>230</v>
      </c>
      <c r="D148" s="1">
        <v>46239</v>
      </c>
      <c r="E148" t="s">
        <v>235</v>
      </c>
      <c r="F148" t="s">
        <v>239</v>
      </c>
      <c r="G148">
        <v>4</v>
      </c>
      <c r="H148" t="s">
        <v>241</v>
      </c>
      <c r="I148" t="s">
        <v>244</v>
      </c>
      <c r="J148" t="s">
        <v>246</v>
      </c>
    </row>
    <row r="149" spans="1:10">
      <c r="A149" t="s">
        <v>157</v>
      </c>
      <c r="B149" t="s">
        <v>216</v>
      </c>
      <c r="C149" t="s">
        <v>233</v>
      </c>
      <c r="D149" s="1">
        <v>46236</v>
      </c>
      <c r="E149" t="s">
        <v>235</v>
      </c>
      <c r="F149" t="s">
        <v>239</v>
      </c>
      <c r="G149">
        <v>3</v>
      </c>
      <c r="H149" t="s">
        <v>241</v>
      </c>
      <c r="I149" t="s">
        <v>243</v>
      </c>
      <c r="J149" t="s">
        <v>246</v>
      </c>
    </row>
    <row r="150" spans="1:10">
      <c r="A150" t="s">
        <v>158</v>
      </c>
      <c r="B150" t="s">
        <v>229</v>
      </c>
      <c r="C150" t="s">
        <v>232</v>
      </c>
      <c r="D150" s="1">
        <v>46240</v>
      </c>
      <c r="E150" t="s">
        <v>235</v>
      </c>
      <c r="F150" t="s">
        <v>240</v>
      </c>
      <c r="G150">
        <v>2</v>
      </c>
      <c r="H150" t="s">
        <v>241</v>
      </c>
      <c r="I150" t="s">
        <v>245</v>
      </c>
      <c r="J150" t="s">
        <v>247</v>
      </c>
    </row>
    <row r="151" spans="1:10">
      <c r="A151" t="s">
        <v>159</v>
      </c>
      <c r="B151" t="s">
        <v>217</v>
      </c>
      <c r="C151" t="s">
        <v>231</v>
      </c>
      <c r="D151" s="1">
        <v>46268</v>
      </c>
      <c r="E151" t="s">
        <v>235</v>
      </c>
      <c r="F151" t="s">
        <v>239</v>
      </c>
      <c r="G151">
        <v>5</v>
      </c>
      <c r="H151" t="s">
        <v>241</v>
      </c>
      <c r="I151" t="s">
        <v>243</v>
      </c>
      <c r="J151" t="s">
        <v>247</v>
      </c>
    </row>
    <row r="152" spans="1:10">
      <c r="A152" t="s">
        <v>160</v>
      </c>
      <c r="B152" t="s">
        <v>221</v>
      </c>
      <c r="C152" t="s">
        <v>232</v>
      </c>
      <c r="D152" s="1">
        <v>46273</v>
      </c>
      <c r="E152" t="s">
        <v>236</v>
      </c>
      <c r="F152" t="s">
        <v>240</v>
      </c>
      <c r="G152">
        <v>5</v>
      </c>
      <c r="H152" t="s">
        <v>242</v>
      </c>
      <c r="I152" t="s">
        <v>244</v>
      </c>
      <c r="J152" t="s">
        <v>249</v>
      </c>
    </row>
    <row r="153" spans="1:10">
      <c r="A153" t="s">
        <v>161</v>
      </c>
      <c r="B153" t="s">
        <v>227</v>
      </c>
      <c r="C153" t="s">
        <v>231</v>
      </c>
      <c r="D153" s="1">
        <v>46263</v>
      </c>
      <c r="E153" t="s">
        <v>238</v>
      </c>
      <c r="F153" t="s">
        <v>239</v>
      </c>
      <c r="G153">
        <v>11</v>
      </c>
      <c r="H153" t="s">
        <v>241</v>
      </c>
      <c r="I153" t="s">
        <v>244</v>
      </c>
      <c r="J153" t="s">
        <v>247</v>
      </c>
    </row>
    <row r="154" spans="1:10">
      <c r="A154" t="s">
        <v>162</v>
      </c>
      <c r="B154" t="s">
        <v>220</v>
      </c>
      <c r="C154" t="s">
        <v>232</v>
      </c>
      <c r="D154" s="1">
        <v>46285</v>
      </c>
      <c r="E154" t="s">
        <v>235</v>
      </c>
      <c r="F154" t="s">
        <v>239</v>
      </c>
      <c r="G154">
        <v>4</v>
      </c>
      <c r="H154" t="s">
        <v>241</v>
      </c>
      <c r="I154" t="s">
        <v>244</v>
      </c>
      <c r="J154" t="s">
        <v>249</v>
      </c>
    </row>
    <row r="155" spans="1:10">
      <c r="A155" t="s">
        <v>163</v>
      </c>
      <c r="B155" t="s">
        <v>222</v>
      </c>
      <c r="C155" t="s">
        <v>232</v>
      </c>
      <c r="D155" s="1">
        <v>46258</v>
      </c>
      <c r="E155" t="s">
        <v>235</v>
      </c>
      <c r="F155" t="s">
        <v>239</v>
      </c>
      <c r="G155">
        <v>4</v>
      </c>
      <c r="H155" t="s">
        <v>241</v>
      </c>
      <c r="I155" t="s">
        <v>243</v>
      </c>
      <c r="J155" t="s">
        <v>249</v>
      </c>
    </row>
    <row r="156" spans="1:10">
      <c r="A156" t="s">
        <v>164</v>
      </c>
      <c r="B156" t="s">
        <v>211</v>
      </c>
      <c r="C156" t="s">
        <v>233</v>
      </c>
      <c r="D156" s="1">
        <v>46276</v>
      </c>
      <c r="E156" t="s">
        <v>236</v>
      </c>
      <c r="F156" t="s">
        <v>239</v>
      </c>
      <c r="G156">
        <v>3</v>
      </c>
      <c r="H156" t="s">
        <v>241</v>
      </c>
      <c r="I156" t="s">
        <v>245</v>
      </c>
      <c r="J156" t="s">
        <v>246</v>
      </c>
    </row>
    <row r="157" spans="1:10">
      <c r="A157" t="s">
        <v>165</v>
      </c>
      <c r="B157" t="s">
        <v>216</v>
      </c>
      <c r="C157" t="s">
        <v>233</v>
      </c>
      <c r="D157" s="1">
        <v>46288</v>
      </c>
      <c r="E157" t="s">
        <v>235</v>
      </c>
      <c r="F157" t="s">
        <v>239</v>
      </c>
      <c r="G157">
        <v>1</v>
      </c>
      <c r="H157" t="s">
        <v>241</v>
      </c>
      <c r="I157" t="s">
        <v>244</v>
      </c>
      <c r="J157" t="s">
        <v>249</v>
      </c>
    </row>
    <row r="158" spans="1:10">
      <c r="A158" t="s">
        <v>166</v>
      </c>
      <c r="B158" t="s">
        <v>228</v>
      </c>
      <c r="C158" t="s">
        <v>233</v>
      </c>
      <c r="D158" s="1">
        <v>46274</v>
      </c>
      <c r="E158" t="s">
        <v>236</v>
      </c>
      <c r="F158" t="s">
        <v>239</v>
      </c>
      <c r="G158">
        <v>10</v>
      </c>
      <c r="H158" t="s">
        <v>241</v>
      </c>
      <c r="I158" t="s">
        <v>245</v>
      </c>
      <c r="J158" t="s">
        <v>247</v>
      </c>
    </row>
    <row r="159" spans="1:10">
      <c r="A159" t="s">
        <v>167</v>
      </c>
      <c r="B159" t="s">
        <v>216</v>
      </c>
      <c r="C159" t="s">
        <v>232</v>
      </c>
      <c r="D159" s="1">
        <v>46285</v>
      </c>
      <c r="E159" t="s">
        <v>235</v>
      </c>
      <c r="F159" t="s">
        <v>239</v>
      </c>
      <c r="G159">
        <v>6</v>
      </c>
      <c r="H159" t="s">
        <v>241</v>
      </c>
      <c r="I159" t="s">
        <v>243</v>
      </c>
      <c r="J159" t="s">
        <v>247</v>
      </c>
    </row>
    <row r="160" spans="1:10">
      <c r="A160" t="s">
        <v>168</v>
      </c>
      <c r="B160" t="s">
        <v>221</v>
      </c>
      <c r="C160" t="s">
        <v>230</v>
      </c>
      <c r="D160" s="1">
        <v>46273</v>
      </c>
      <c r="E160" t="s">
        <v>236</v>
      </c>
      <c r="F160" t="s">
        <v>239</v>
      </c>
      <c r="G160">
        <v>7</v>
      </c>
      <c r="H160" t="s">
        <v>241</v>
      </c>
      <c r="I160" t="s">
        <v>245</v>
      </c>
      <c r="J160" t="s">
        <v>249</v>
      </c>
    </row>
    <row r="161" spans="1:10">
      <c r="A161" t="s">
        <v>169</v>
      </c>
      <c r="B161" t="s">
        <v>215</v>
      </c>
      <c r="C161" t="s">
        <v>233</v>
      </c>
      <c r="D161" s="1">
        <v>46273</v>
      </c>
      <c r="E161" t="s">
        <v>236</v>
      </c>
      <c r="F161" t="s">
        <v>240</v>
      </c>
      <c r="G161">
        <v>7</v>
      </c>
      <c r="H161" t="s">
        <v>241</v>
      </c>
      <c r="I161" t="s">
        <v>245</v>
      </c>
      <c r="J161" t="s">
        <v>246</v>
      </c>
    </row>
    <row r="162" spans="1:10">
      <c r="A162" t="s">
        <v>170</v>
      </c>
      <c r="B162" t="s">
        <v>217</v>
      </c>
      <c r="C162" t="s">
        <v>232</v>
      </c>
      <c r="D162" s="1">
        <v>46278</v>
      </c>
      <c r="E162" t="s">
        <v>237</v>
      </c>
      <c r="F162" t="s">
        <v>239</v>
      </c>
      <c r="G162">
        <v>8</v>
      </c>
      <c r="H162" t="s">
        <v>242</v>
      </c>
      <c r="I162" t="s">
        <v>243</v>
      </c>
      <c r="J162" t="s">
        <v>246</v>
      </c>
    </row>
    <row r="163" spans="1:10">
      <c r="A163" t="s">
        <v>171</v>
      </c>
      <c r="B163" t="s">
        <v>225</v>
      </c>
      <c r="C163" t="s">
        <v>233</v>
      </c>
      <c r="D163" s="1">
        <v>46256</v>
      </c>
      <c r="E163" t="s">
        <v>235</v>
      </c>
      <c r="F163" t="s">
        <v>239</v>
      </c>
      <c r="G163">
        <v>2</v>
      </c>
      <c r="H163" t="s">
        <v>242</v>
      </c>
      <c r="I163" t="s">
        <v>243</v>
      </c>
      <c r="J163" t="s">
        <v>248</v>
      </c>
    </row>
    <row r="164" spans="1:10">
      <c r="A164" t="s">
        <v>172</v>
      </c>
      <c r="B164" t="s">
        <v>217</v>
      </c>
      <c r="C164" t="s">
        <v>231</v>
      </c>
      <c r="D164" s="1">
        <v>46269</v>
      </c>
      <c r="E164" t="s">
        <v>235</v>
      </c>
      <c r="F164" t="s">
        <v>239</v>
      </c>
      <c r="G164">
        <v>1</v>
      </c>
      <c r="H164" t="s">
        <v>241</v>
      </c>
      <c r="I164" t="s">
        <v>243</v>
      </c>
      <c r="J164" t="s">
        <v>247</v>
      </c>
    </row>
    <row r="165" spans="1:10">
      <c r="A165" t="s">
        <v>173</v>
      </c>
      <c r="B165" t="s">
        <v>218</v>
      </c>
      <c r="C165" t="s">
        <v>233</v>
      </c>
      <c r="D165" s="1">
        <v>46279</v>
      </c>
      <c r="E165" t="s">
        <v>235</v>
      </c>
      <c r="F165" t="s">
        <v>239</v>
      </c>
      <c r="G165">
        <v>2</v>
      </c>
      <c r="H165" t="s">
        <v>241</v>
      </c>
      <c r="I165" t="s">
        <v>243</v>
      </c>
      <c r="J165" t="s">
        <v>246</v>
      </c>
    </row>
    <row r="166" spans="1:10">
      <c r="A166" t="s">
        <v>174</v>
      </c>
      <c r="B166" t="s">
        <v>222</v>
      </c>
      <c r="C166" t="s">
        <v>230</v>
      </c>
      <c r="D166" s="1">
        <v>46274</v>
      </c>
      <c r="E166" t="s">
        <v>235</v>
      </c>
      <c r="F166" t="s">
        <v>239</v>
      </c>
      <c r="G166">
        <v>2</v>
      </c>
      <c r="H166" t="s">
        <v>242</v>
      </c>
      <c r="I166" t="s">
        <v>244</v>
      </c>
      <c r="J166" t="s">
        <v>246</v>
      </c>
    </row>
    <row r="167" spans="1:10">
      <c r="A167" t="s">
        <v>175</v>
      </c>
      <c r="B167" t="s">
        <v>213</v>
      </c>
      <c r="C167" t="s">
        <v>231</v>
      </c>
      <c r="D167" s="1">
        <v>46247</v>
      </c>
      <c r="E167" t="s">
        <v>235</v>
      </c>
      <c r="F167" t="s">
        <v>239</v>
      </c>
      <c r="G167">
        <v>4</v>
      </c>
      <c r="H167" t="s">
        <v>242</v>
      </c>
      <c r="I167" t="s">
        <v>244</v>
      </c>
      <c r="J167" t="s">
        <v>246</v>
      </c>
    </row>
    <row r="168" spans="1:10">
      <c r="A168" t="s">
        <v>176</v>
      </c>
      <c r="B168" t="s">
        <v>211</v>
      </c>
      <c r="C168" t="s">
        <v>234</v>
      </c>
      <c r="D168" s="1">
        <v>46245</v>
      </c>
      <c r="E168" t="s">
        <v>237</v>
      </c>
      <c r="F168" t="s">
        <v>239</v>
      </c>
      <c r="G168">
        <v>6</v>
      </c>
      <c r="H168" t="s">
        <v>241</v>
      </c>
      <c r="I168" t="s">
        <v>244</v>
      </c>
      <c r="J168" t="s">
        <v>248</v>
      </c>
    </row>
    <row r="169" spans="1:10">
      <c r="A169" t="s">
        <v>177</v>
      </c>
      <c r="B169" t="s">
        <v>217</v>
      </c>
      <c r="C169" t="s">
        <v>232</v>
      </c>
      <c r="D169" s="1">
        <v>46241</v>
      </c>
      <c r="E169" t="s">
        <v>235</v>
      </c>
      <c r="F169" t="s">
        <v>239</v>
      </c>
      <c r="G169">
        <v>3</v>
      </c>
      <c r="H169" t="s">
        <v>241</v>
      </c>
      <c r="I169" t="s">
        <v>243</v>
      </c>
      <c r="J169" t="s">
        <v>247</v>
      </c>
    </row>
    <row r="170" spans="1:10">
      <c r="A170" t="s">
        <v>178</v>
      </c>
      <c r="B170" t="s">
        <v>215</v>
      </c>
      <c r="C170" t="s">
        <v>230</v>
      </c>
      <c r="D170" s="1">
        <v>46262</v>
      </c>
      <c r="E170" t="s">
        <v>237</v>
      </c>
      <c r="F170" t="s">
        <v>239</v>
      </c>
      <c r="G170">
        <v>6</v>
      </c>
      <c r="H170" t="s">
        <v>241</v>
      </c>
      <c r="I170" t="s">
        <v>243</v>
      </c>
      <c r="J170" t="s">
        <v>246</v>
      </c>
    </row>
    <row r="171" spans="1:10">
      <c r="A171" t="s">
        <v>179</v>
      </c>
      <c r="B171" t="s">
        <v>229</v>
      </c>
      <c r="C171" t="s">
        <v>232</v>
      </c>
      <c r="D171" s="1">
        <v>46250</v>
      </c>
      <c r="E171" t="s">
        <v>237</v>
      </c>
      <c r="F171" t="s">
        <v>239</v>
      </c>
      <c r="G171">
        <v>5</v>
      </c>
      <c r="H171" t="s">
        <v>241</v>
      </c>
      <c r="I171" t="s">
        <v>243</v>
      </c>
      <c r="J171" t="s">
        <v>247</v>
      </c>
    </row>
    <row r="172" spans="1:10">
      <c r="A172" t="s">
        <v>180</v>
      </c>
      <c r="B172" t="s">
        <v>226</v>
      </c>
      <c r="C172" t="s">
        <v>231</v>
      </c>
      <c r="D172" s="1">
        <v>46243</v>
      </c>
      <c r="E172" t="s">
        <v>235</v>
      </c>
      <c r="F172" t="s">
        <v>240</v>
      </c>
      <c r="G172">
        <v>6</v>
      </c>
      <c r="H172" t="s">
        <v>241</v>
      </c>
      <c r="I172" t="s">
        <v>245</v>
      </c>
      <c r="J172" t="s">
        <v>246</v>
      </c>
    </row>
    <row r="173" spans="1:10">
      <c r="A173" t="s">
        <v>181</v>
      </c>
      <c r="B173" t="s">
        <v>224</v>
      </c>
      <c r="C173" t="s">
        <v>231</v>
      </c>
      <c r="D173" s="1">
        <v>46240</v>
      </c>
      <c r="E173" t="s">
        <v>237</v>
      </c>
      <c r="F173" t="s">
        <v>239</v>
      </c>
      <c r="G173">
        <v>6</v>
      </c>
      <c r="H173" t="s">
        <v>241</v>
      </c>
      <c r="I173" t="s">
        <v>245</v>
      </c>
      <c r="J173" t="s">
        <v>248</v>
      </c>
    </row>
    <row r="174" spans="1:10">
      <c r="A174" t="s">
        <v>182</v>
      </c>
      <c r="B174" t="s">
        <v>222</v>
      </c>
      <c r="C174" t="s">
        <v>231</v>
      </c>
      <c r="D174" s="1">
        <v>46284</v>
      </c>
      <c r="E174" t="s">
        <v>235</v>
      </c>
      <c r="F174" t="s">
        <v>239</v>
      </c>
      <c r="G174">
        <v>5</v>
      </c>
      <c r="H174" t="s">
        <v>241</v>
      </c>
      <c r="I174" t="s">
        <v>243</v>
      </c>
      <c r="J174" t="s">
        <v>247</v>
      </c>
    </row>
    <row r="175" spans="1:10">
      <c r="A175" t="s">
        <v>183</v>
      </c>
      <c r="B175" t="s">
        <v>225</v>
      </c>
      <c r="C175" t="s">
        <v>230</v>
      </c>
      <c r="D175" s="1">
        <v>46242</v>
      </c>
      <c r="E175" t="s">
        <v>235</v>
      </c>
      <c r="F175" t="s">
        <v>239</v>
      </c>
      <c r="G175">
        <v>5</v>
      </c>
      <c r="H175" t="s">
        <v>241</v>
      </c>
      <c r="I175" t="s">
        <v>244</v>
      </c>
      <c r="J175" t="s">
        <v>249</v>
      </c>
    </row>
    <row r="176" spans="1:10">
      <c r="A176" t="s">
        <v>184</v>
      </c>
      <c r="B176" t="s">
        <v>227</v>
      </c>
      <c r="C176" t="s">
        <v>233</v>
      </c>
      <c r="D176" s="1">
        <v>46250</v>
      </c>
      <c r="E176" t="s">
        <v>236</v>
      </c>
      <c r="F176" t="s">
        <v>239</v>
      </c>
      <c r="G176">
        <v>7</v>
      </c>
      <c r="H176" t="s">
        <v>241</v>
      </c>
      <c r="I176" t="s">
        <v>245</v>
      </c>
      <c r="J176" t="s">
        <v>248</v>
      </c>
    </row>
    <row r="177" spans="1:10">
      <c r="A177" t="s">
        <v>185</v>
      </c>
      <c r="B177" t="s">
        <v>217</v>
      </c>
      <c r="C177" t="s">
        <v>230</v>
      </c>
      <c r="D177" s="1">
        <v>46285</v>
      </c>
      <c r="E177" t="s">
        <v>235</v>
      </c>
      <c r="F177" t="s">
        <v>239</v>
      </c>
      <c r="G177">
        <v>5</v>
      </c>
      <c r="H177" t="s">
        <v>241</v>
      </c>
      <c r="I177" t="s">
        <v>244</v>
      </c>
      <c r="J177" t="s">
        <v>249</v>
      </c>
    </row>
    <row r="178" spans="1:10">
      <c r="A178" t="s">
        <v>186</v>
      </c>
      <c r="B178" t="s">
        <v>224</v>
      </c>
      <c r="C178" t="s">
        <v>234</v>
      </c>
      <c r="D178" s="1">
        <v>46251</v>
      </c>
      <c r="E178" t="s">
        <v>237</v>
      </c>
      <c r="F178" t="s">
        <v>239</v>
      </c>
      <c r="G178">
        <v>5</v>
      </c>
      <c r="H178" t="s">
        <v>242</v>
      </c>
      <c r="I178" t="s">
        <v>245</v>
      </c>
      <c r="J178" t="s">
        <v>249</v>
      </c>
    </row>
    <row r="179" spans="1:10">
      <c r="A179" t="s">
        <v>187</v>
      </c>
      <c r="B179" t="s">
        <v>216</v>
      </c>
      <c r="C179" t="s">
        <v>232</v>
      </c>
      <c r="D179" s="1">
        <v>46282</v>
      </c>
      <c r="E179" t="s">
        <v>235</v>
      </c>
      <c r="F179" t="s">
        <v>239</v>
      </c>
      <c r="G179">
        <v>1</v>
      </c>
      <c r="H179" t="s">
        <v>241</v>
      </c>
      <c r="I179" t="s">
        <v>243</v>
      </c>
      <c r="J179" t="s">
        <v>249</v>
      </c>
    </row>
    <row r="180" spans="1:10">
      <c r="A180" t="s">
        <v>188</v>
      </c>
      <c r="B180" t="s">
        <v>223</v>
      </c>
      <c r="C180" t="s">
        <v>232</v>
      </c>
      <c r="D180" s="1">
        <v>46278</v>
      </c>
      <c r="E180" t="s">
        <v>235</v>
      </c>
      <c r="F180" t="s">
        <v>239</v>
      </c>
      <c r="G180">
        <v>2</v>
      </c>
      <c r="H180" t="s">
        <v>241</v>
      </c>
      <c r="I180" t="s">
        <v>244</v>
      </c>
      <c r="J180" t="s">
        <v>246</v>
      </c>
    </row>
    <row r="181" spans="1:10">
      <c r="A181" t="s">
        <v>189</v>
      </c>
      <c r="B181" t="s">
        <v>222</v>
      </c>
      <c r="C181" t="s">
        <v>231</v>
      </c>
      <c r="D181" s="1">
        <v>46237</v>
      </c>
      <c r="E181" t="s">
        <v>237</v>
      </c>
      <c r="F181" t="s">
        <v>239</v>
      </c>
      <c r="G181">
        <v>8</v>
      </c>
      <c r="H181" t="s">
        <v>242</v>
      </c>
      <c r="I181" t="s">
        <v>243</v>
      </c>
      <c r="J181" t="s">
        <v>249</v>
      </c>
    </row>
    <row r="182" spans="1:10">
      <c r="A182" t="s">
        <v>190</v>
      </c>
      <c r="B182" t="s">
        <v>210</v>
      </c>
      <c r="C182" t="s">
        <v>231</v>
      </c>
      <c r="D182" s="1">
        <v>46287</v>
      </c>
      <c r="E182" t="s">
        <v>237</v>
      </c>
      <c r="F182" t="s">
        <v>239</v>
      </c>
      <c r="G182">
        <v>4</v>
      </c>
      <c r="H182" t="s">
        <v>241</v>
      </c>
      <c r="I182" t="s">
        <v>245</v>
      </c>
      <c r="J182" t="s">
        <v>247</v>
      </c>
    </row>
    <row r="183" spans="1:10">
      <c r="A183" t="s">
        <v>191</v>
      </c>
      <c r="B183" t="s">
        <v>216</v>
      </c>
      <c r="C183" t="s">
        <v>230</v>
      </c>
      <c r="D183" s="1">
        <v>46238</v>
      </c>
      <c r="E183" t="s">
        <v>237</v>
      </c>
      <c r="F183" t="s">
        <v>239</v>
      </c>
      <c r="G183">
        <v>4</v>
      </c>
      <c r="H183" t="s">
        <v>241</v>
      </c>
      <c r="I183" t="s">
        <v>245</v>
      </c>
      <c r="J183" t="s">
        <v>249</v>
      </c>
    </row>
    <row r="184" spans="1:10">
      <c r="A184" t="s">
        <v>192</v>
      </c>
      <c r="B184" t="s">
        <v>216</v>
      </c>
      <c r="C184" t="s">
        <v>232</v>
      </c>
      <c r="D184" s="1">
        <v>46259</v>
      </c>
      <c r="E184" t="s">
        <v>235</v>
      </c>
      <c r="F184" t="s">
        <v>239</v>
      </c>
      <c r="G184">
        <v>4</v>
      </c>
      <c r="H184" t="s">
        <v>242</v>
      </c>
      <c r="I184" t="s">
        <v>243</v>
      </c>
      <c r="J184" t="s">
        <v>246</v>
      </c>
    </row>
    <row r="185" spans="1:10">
      <c r="A185" t="s">
        <v>193</v>
      </c>
      <c r="B185" t="s">
        <v>212</v>
      </c>
      <c r="C185" t="s">
        <v>234</v>
      </c>
      <c r="D185" s="1">
        <v>46281</v>
      </c>
      <c r="E185" t="s">
        <v>235</v>
      </c>
      <c r="F185" t="s">
        <v>239</v>
      </c>
      <c r="G185">
        <v>3</v>
      </c>
      <c r="H185" t="s">
        <v>241</v>
      </c>
      <c r="I185" t="s">
        <v>243</v>
      </c>
      <c r="J185" t="s">
        <v>246</v>
      </c>
    </row>
    <row r="186" spans="1:10">
      <c r="A186" t="s">
        <v>194</v>
      </c>
      <c r="B186" t="s">
        <v>223</v>
      </c>
      <c r="C186" t="s">
        <v>233</v>
      </c>
      <c r="D186" s="1">
        <v>46254</v>
      </c>
      <c r="E186" t="s">
        <v>238</v>
      </c>
      <c r="F186" t="s">
        <v>240</v>
      </c>
      <c r="G186">
        <v>8</v>
      </c>
      <c r="H186" t="s">
        <v>241</v>
      </c>
      <c r="I186" t="s">
        <v>244</v>
      </c>
      <c r="J186" t="s">
        <v>246</v>
      </c>
    </row>
    <row r="187" spans="1:10">
      <c r="A187" t="s">
        <v>195</v>
      </c>
      <c r="B187" t="s">
        <v>212</v>
      </c>
      <c r="C187" t="s">
        <v>231</v>
      </c>
      <c r="D187" s="1">
        <v>46274</v>
      </c>
      <c r="E187" t="s">
        <v>236</v>
      </c>
      <c r="F187" t="s">
        <v>239</v>
      </c>
      <c r="G187">
        <v>3</v>
      </c>
      <c r="H187" t="s">
        <v>242</v>
      </c>
      <c r="I187" t="s">
        <v>245</v>
      </c>
      <c r="J187" t="s">
        <v>249</v>
      </c>
    </row>
    <row r="188" spans="1:10">
      <c r="A188" t="s">
        <v>196</v>
      </c>
      <c r="B188" t="s">
        <v>223</v>
      </c>
      <c r="C188" t="s">
        <v>230</v>
      </c>
      <c r="D188" s="1">
        <v>46273</v>
      </c>
      <c r="E188" t="s">
        <v>236</v>
      </c>
      <c r="F188" t="s">
        <v>239</v>
      </c>
      <c r="G188">
        <v>5</v>
      </c>
      <c r="H188" t="s">
        <v>241</v>
      </c>
      <c r="I188" t="s">
        <v>243</v>
      </c>
      <c r="J188" t="s">
        <v>248</v>
      </c>
    </row>
    <row r="189" spans="1:10">
      <c r="A189" t="s">
        <v>197</v>
      </c>
      <c r="B189" t="s">
        <v>226</v>
      </c>
      <c r="C189" t="s">
        <v>230</v>
      </c>
      <c r="D189" s="1">
        <v>46271</v>
      </c>
      <c r="E189" t="s">
        <v>235</v>
      </c>
      <c r="F189" t="s">
        <v>239</v>
      </c>
      <c r="G189">
        <v>3</v>
      </c>
      <c r="H189" t="s">
        <v>241</v>
      </c>
      <c r="I189" t="s">
        <v>244</v>
      </c>
      <c r="J189" t="s">
        <v>248</v>
      </c>
    </row>
    <row r="190" spans="1:10">
      <c r="A190" t="s">
        <v>198</v>
      </c>
      <c r="B190" t="s">
        <v>217</v>
      </c>
      <c r="C190" t="s">
        <v>234</v>
      </c>
      <c r="D190" s="1">
        <v>46243</v>
      </c>
      <c r="E190" t="s">
        <v>237</v>
      </c>
      <c r="F190" t="s">
        <v>239</v>
      </c>
      <c r="G190">
        <v>8</v>
      </c>
      <c r="H190" t="s">
        <v>241</v>
      </c>
      <c r="I190" t="s">
        <v>245</v>
      </c>
      <c r="J190" t="s">
        <v>246</v>
      </c>
    </row>
    <row r="191" spans="1:10">
      <c r="A191" t="s">
        <v>199</v>
      </c>
      <c r="B191" t="s">
        <v>219</v>
      </c>
      <c r="C191" t="s">
        <v>232</v>
      </c>
      <c r="D191" s="1">
        <v>46270</v>
      </c>
      <c r="E191" t="s">
        <v>236</v>
      </c>
      <c r="F191" t="s">
        <v>240</v>
      </c>
      <c r="G191">
        <v>4</v>
      </c>
      <c r="H191" t="s">
        <v>241</v>
      </c>
      <c r="I191" t="s">
        <v>245</v>
      </c>
      <c r="J191" t="s">
        <v>247</v>
      </c>
    </row>
    <row r="192" spans="1:10">
      <c r="A192" t="s">
        <v>200</v>
      </c>
      <c r="B192" t="s">
        <v>211</v>
      </c>
      <c r="C192" t="s">
        <v>234</v>
      </c>
      <c r="D192" s="1">
        <v>46266</v>
      </c>
      <c r="E192" t="s">
        <v>235</v>
      </c>
      <c r="F192" t="s">
        <v>239</v>
      </c>
      <c r="G192">
        <v>6</v>
      </c>
      <c r="H192" t="s">
        <v>242</v>
      </c>
      <c r="I192" t="s">
        <v>243</v>
      </c>
      <c r="J192" t="s">
        <v>248</v>
      </c>
    </row>
    <row r="193" spans="1:10">
      <c r="A193" t="s">
        <v>201</v>
      </c>
      <c r="B193" t="s">
        <v>216</v>
      </c>
      <c r="C193" t="s">
        <v>230</v>
      </c>
      <c r="D193" s="1">
        <v>46289</v>
      </c>
      <c r="E193" t="s">
        <v>235</v>
      </c>
      <c r="F193" t="s">
        <v>240</v>
      </c>
      <c r="G193">
        <v>4</v>
      </c>
      <c r="H193" t="s">
        <v>242</v>
      </c>
      <c r="I193" t="s">
        <v>244</v>
      </c>
      <c r="J193" t="s">
        <v>247</v>
      </c>
    </row>
    <row r="194" spans="1:10">
      <c r="A194" t="s">
        <v>202</v>
      </c>
      <c r="B194" t="s">
        <v>228</v>
      </c>
      <c r="C194" t="s">
        <v>230</v>
      </c>
      <c r="D194" s="1">
        <v>46280</v>
      </c>
      <c r="E194" t="s">
        <v>235</v>
      </c>
      <c r="F194" t="s">
        <v>239</v>
      </c>
      <c r="G194">
        <v>3</v>
      </c>
      <c r="H194" t="s">
        <v>241</v>
      </c>
      <c r="I194" t="s">
        <v>245</v>
      </c>
      <c r="J194" t="s">
        <v>248</v>
      </c>
    </row>
    <row r="195" spans="1:10">
      <c r="A195" t="s">
        <v>203</v>
      </c>
      <c r="B195" t="s">
        <v>227</v>
      </c>
      <c r="C195" t="s">
        <v>230</v>
      </c>
      <c r="D195" s="1">
        <v>46270</v>
      </c>
      <c r="E195" t="s">
        <v>238</v>
      </c>
      <c r="F195" t="s">
        <v>239</v>
      </c>
      <c r="G195">
        <v>7</v>
      </c>
      <c r="H195" t="s">
        <v>241</v>
      </c>
      <c r="I195" t="s">
        <v>245</v>
      </c>
      <c r="J195" t="s">
        <v>246</v>
      </c>
    </row>
    <row r="196" spans="1:10">
      <c r="A196" t="s">
        <v>204</v>
      </c>
      <c r="B196" t="s">
        <v>225</v>
      </c>
      <c r="C196" t="s">
        <v>233</v>
      </c>
      <c r="D196" s="1">
        <v>46281</v>
      </c>
      <c r="E196" t="s">
        <v>235</v>
      </c>
      <c r="F196" t="s">
        <v>240</v>
      </c>
      <c r="G196">
        <v>1</v>
      </c>
      <c r="H196" t="s">
        <v>241</v>
      </c>
      <c r="I196" t="s">
        <v>244</v>
      </c>
      <c r="J196" t="s">
        <v>246</v>
      </c>
    </row>
    <row r="197" spans="1:10">
      <c r="A197" t="s">
        <v>205</v>
      </c>
      <c r="B197" t="s">
        <v>223</v>
      </c>
      <c r="C197" t="s">
        <v>234</v>
      </c>
      <c r="D197" s="1">
        <v>46263</v>
      </c>
      <c r="E197" t="s">
        <v>237</v>
      </c>
      <c r="F197" t="s">
        <v>239</v>
      </c>
      <c r="G197">
        <v>4</v>
      </c>
      <c r="H197" t="s">
        <v>241</v>
      </c>
      <c r="I197" t="s">
        <v>244</v>
      </c>
      <c r="J197" t="s">
        <v>247</v>
      </c>
    </row>
    <row r="198" spans="1:10">
      <c r="A198" t="s">
        <v>206</v>
      </c>
      <c r="B198" t="s">
        <v>221</v>
      </c>
      <c r="C198" t="s">
        <v>231</v>
      </c>
      <c r="D198" s="1">
        <v>46284</v>
      </c>
      <c r="E198" t="s">
        <v>237</v>
      </c>
      <c r="F198" t="s">
        <v>239</v>
      </c>
      <c r="G198">
        <v>7</v>
      </c>
      <c r="H198" t="s">
        <v>241</v>
      </c>
      <c r="I198" t="s">
        <v>245</v>
      </c>
      <c r="J198" t="s">
        <v>249</v>
      </c>
    </row>
    <row r="199" spans="1:10">
      <c r="A199" t="s">
        <v>207</v>
      </c>
      <c r="B199" t="s">
        <v>214</v>
      </c>
      <c r="C199" t="s">
        <v>230</v>
      </c>
      <c r="D199" s="1">
        <v>46280</v>
      </c>
      <c r="E199" t="s">
        <v>235</v>
      </c>
      <c r="F199" t="s">
        <v>239</v>
      </c>
      <c r="G199">
        <v>2</v>
      </c>
      <c r="H199" t="s">
        <v>241</v>
      </c>
      <c r="I199" t="s">
        <v>245</v>
      </c>
      <c r="J199" t="s">
        <v>247</v>
      </c>
    </row>
    <row r="200" spans="1:10">
      <c r="A200" t="s">
        <v>208</v>
      </c>
      <c r="B200" t="s">
        <v>222</v>
      </c>
      <c r="C200" t="s">
        <v>230</v>
      </c>
      <c r="D200" s="1">
        <v>46275</v>
      </c>
      <c r="E200" t="s">
        <v>235</v>
      </c>
      <c r="F200" t="s">
        <v>239</v>
      </c>
      <c r="G200">
        <v>5</v>
      </c>
      <c r="H200" t="s">
        <v>241</v>
      </c>
      <c r="I200" t="s">
        <v>244</v>
      </c>
      <c r="J200" t="s">
        <v>249</v>
      </c>
    </row>
    <row r="201" spans="1:10">
      <c r="A201" t="s">
        <v>209</v>
      </c>
      <c r="B201" t="s">
        <v>227</v>
      </c>
      <c r="C201" t="s">
        <v>233</v>
      </c>
      <c r="D201" s="1">
        <v>46256</v>
      </c>
      <c r="E201" t="s">
        <v>236</v>
      </c>
      <c r="F201" t="s">
        <v>240</v>
      </c>
      <c r="G201">
        <v>5</v>
      </c>
      <c r="H201" t="s">
        <v>241</v>
      </c>
      <c r="I201" t="s">
        <v>243</v>
      </c>
      <c r="J201" t="s">
        <v>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F728-692E-41CD-AFF5-CE47744C6C9E}">
  <dimension ref="A1:C6"/>
  <sheetViews>
    <sheetView workbookViewId="0">
      <selection activeCell="K22" sqref="K22"/>
    </sheetView>
  </sheetViews>
  <sheetFormatPr defaultRowHeight="14.4"/>
  <cols>
    <col min="1" max="1" width="12.5546875" bestFit="1" customWidth="1"/>
    <col min="2" max="2" width="17.6640625" bestFit="1" customWidth="1"/>
    <col min="3" max="3" width="18.6640625" bestFit="1" customWidth="1"/>
  </cols>
  <sheetData>
    <row r="1" spans="1:3" ht="23.4">
      <c r="A1" s="16" t="s">
        <v>255</v>
      </c>
      <c r="B1" s="17"/>
      <c r="C1" s="17"/>
    </row>
    <row r="3" spans="1:3">
      <c r="A3" s="3" t="s">
        <v>250</v>
      </c>
      <c r="B3" t="s">
        <v>252</v>
      </c>
    </row>
    <row r="4" spans="1:3">
      <c r="A4" s="4" t="s">
        <v>241</v>
      </c>
      <c r="B4">
        <v>156</v>
      </c>
    </row>
    <row r="5" spans="1:3">
      <c r="A5" s="4" t="s">
        <v>242</v>
      </c>
      <c r="B5">
        <v>44</v>
      </c>
    </row>
    <row r="6" spans="1:3">
      <c r="A6" s="4" t="s">
        <v>251</v>
      </c>
      <c r="B6">
        <v>200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D498-84CA-4AA7-ACEB-0AC2A13D63AE}">
  <dimension ref="A1:B7"/>
  <sheetViews>
    <sheetView topLeftCell="B1" workbookViewId="0">
      <selection activeCell="J17" sqref="J17"/>
    </sheetView>
  </sheetViews>
  <sheetFormatPr defaultRowHeight="14.4"/>
  <cols>
    <col min="1" max="1" width="12.5546875" bestFit="1" customWidth="1"/>
    <col min="2" max="2" width="17.6640625" bestFit="1" customWidth="1"/>
  </cols>
  <sheetData>
    <row r="1" spans="1:2">
      <c r="A1" s="3" t="s">
        <v>4</v>
      </c>
      <c r="B1" t="s">
        <v>236</v>
      </c>
    </row>
    <row r="3" spans="1:2">
      <c r="A3" s="3" t="s">
        <v>250</v>
      </c>
      <c r="B3" t="s">
        <v>252</v>
      </c>
    </row>
    <row r="4" spans="1:2">
      <c r="A4" s="4" t="s">
        <v>243</v>
      </c>
      <c r="B4">
        <v>8</v>
      </c>
    </row>
    <row r="5" spans="1:2">
      <c r="A5" s="4" t="s">
        <v>244</v>
      </c>
      <c r="B5">
        <v>12</v>
      </c>
    </row>
    <row r="6" spans="1:2">
      <c r="A6" s="4" t="s">
        <v>245</v>
      </c>
      <c r="B6">
        <v>18</v>
      </c>
    </row>
    <row r="7" spans="1:2">
      <c r="A7" s="4" t="s">
        <v>251</v>
      </c>
      <c r="B7">
        <v>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25A0-5412-4C7F-AAA7-2B5257FBB601}">
  <dimension ref="A1:F9"/>
  <sheetViews>
    <sheetView workbookViewId="0">
      <selection activeCell="H23" sqref="H23"/>
    </sheetView>
  </sheetViews>
  <sheetFormatPr defaultRowHeight="14.4"/>
  <cols>
    <col min="1" max="1" width="16.5546875" bestFit="1" customWidth="1"/>
    <col min="2" max="2" width="17.6640625" bestFit="1" customWidth="1"/>
  </cols>
  <sheetData>
    <row r="1" spans="1:6" ht="23.4">
      <c r="A1" s="16" t="s">
        <v>254</v>
      </c>
      <c r="B1" s="16"/>
      <c r="C1" s="16"/>
      <c r="D1" s="16"/>
      <c r="E1" s="16"/>
      <c r="F1" s="16"/>
    </row>
    <row r="3" spans="1:6">
      <c r="A3" s="3" t="s">
        <v>250</v>
      </c>
      <c r="B3" t="s">
        <v>252</v>
      </c>
    </row>
    <row r="4" spans="1:6">
      <c r="A4" s="4" t="s">
        <v>230</v>
      </c>
      <c r="B4">
        <v>48</v>
      </c>
    </row>
    <row r="5" spans="1:6">
      <c r="A5" s="4" t="s">
        <v>233</v>
      </c>
      <c r="B5">
        <v>39</v>
      </c>
    </row>
    <row r="6" spans="1:6">
      <c r="A6" s="4" t="s">
        <v>231</v>
      </c>
      <c r="B6">
        <v>38</v>
      </c>
    </row>
    <row r="7" spans="1:6">
      <c r="A7" s="4" t="s">
        <v>232</v>
      </c>
      <c r="B7">
        <v>36</v>
      </c>
    </row>
    <row r="8" spans="1:6">
      <c r="A8" s="4" t="s">
        <v>234</v>
      </c>
      <c r="B8">
        <v>39</v>
      </c>
    </row>
    <row r="9" spans="1:6">
      <c r="A9" s="4" t="s">
        <v>251</v>
      </c>
      <c r="B9">
        <v>200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6789-B2C3-4576-BB12-CE38E157624F}">
  <dimension ref="A1:F8"/>
  <sheetViews>
    <sheetView workbookViewId="0">
      <selection activeCell="L16" sqref="L16"/>
    </sheetView>
  </sheetViews>
  <sheetFormatPr defaultRowHeight="14.4"/>
  <cols>
    <col min="1" max="1" width="12.5546875" bestFit="1" customWidth="1"/>
    <col min="2" max="2" width="17.6640625" bestFit="1" customWidth="1"/>
  </cols>
  <sheetData>
    <row r="1" spans="1:6" ht="23.4">
      <c r="A1" s="18" t="s">
        <v>260</v>
      </c>
      <c r="B1" s="18"/>
      <c r="C1" s="18"/>
      <c r="D1" s="18"/>
      <c r="E1" s="18"/>
      <c r="F1" s="18"/>
    </row>
    <row r="3" spans="1:6">
      <c r="A3" s="3" t="s">
        <v>250</v>
      </c>
      <c r="B3" t="s">
        <v>252</v>
      </c>
    </row>
    <row r="4" spans="1:6">
      <c r="A4" s="4" t="s">
        <v>235</v>
      </c>
      <c r="B4">
        <v>109</v>
      </c>
    </row>
    <row r="5" spans="1:6">
      <c r="A5" s="4" t="s">
        <v>237</v>
      </c>
      <c r="B5">
        <v>42</v>
      </c>
    </row>
    <row r="6" spans="1:6">
      <c r="A6" s="4" t="s">
        <v>238</v>
      </c>
      <c r="B6">
        <v>11</v>
      </c>
    </row>
    <row r="7" spans="1:6">
      <c r="A7" s="4" t="s">
        <v>236</v>
      </c>
      <c r="B7">
        <v>38</v>
      </c>
    </row>
    <row r="8" spans="1:6">
      <c r="A8" s="4" t="s">
        <v>251</v>
      </c>
      <c r="B8">
        <v>200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EB71-9538-499F-A19E-E8779AA0EC7E}">
  <dimension ref="A1:K44"/>
  <sheetViews>
    <sheetView tabSelected="1" topLeftCell="A2" zoomScale="70" zoomScaleNormal="70" workbookViewId="0">
      <selection activeCell="L16" sqref="L16"/>
    </sheetView>
  </sheetViews>
  <sheetFormatPr defaultRowHeight="14.4"/>
  <cols>
    <col min="1" max="1" width="27.21875" customWidth="1"/>
    <col min="2" max="2" width="18.44140625" customWidth="1"/>
    <col min="3" max="3" width="17.5546875" customWidth="1"/>
    <col min="4" max="4" width="24.44140625" customWidth="1"/>
    <col min="5" max="5" width="26.5546875" customWidth="1"/>
    <col min="6" max="6" width="14.33203125" customWidth="1"/>
  </cols>
  <sheetData>
    <row r="1" spans="1:11" ht="28.2">
      <c r="A1" s="12" t="s">
        <v>253</v>
      </c>
      <c r="B1" s="12"/>
      <c r="C1" s="12"/>
      <c r="D1" s="12"/>
      <c r="E1" s="12"/>
      <c r="F1" s="12"/>
      <c r="G1" s="12"/>
      <c r="H1" s="12"/>
      <c r="I1" s="5"/>
      <c r="J1" s="5"/>
      <c r="K1" s="5"/>
    </row>
    <row r="2" spans="1:11" ht="21">
      <c r="A2" s="11"/>
      <c r="B2" s="13"/>
      <c r="C2" s="13"/>
      <c r="D2" s="13"/>
      <c r="E2" s="13"/>
      <c r="F2" s="13"/>
    </row>
    <row r="3" spans="1:11" ht="21">
      <c r="A3" s="7" t="s">
        <v>256</v>
      </c>
      <c r="B3" s="7" t="s">
        <v>257</v>
      </c>
      <c r="C3" s="7" t="s">
        <v>258</v>
      </c>
      <c r="D3" s="7" t="s">
        <v>259</v>
      </c>
      <c r="E3" s="8" t="s">
        <v>261</v>
      </c>
      <c r="F3" s="9"/>
    </row>
    <row r="4" spans="1:11" ht="23.4">
      <c r="A4" s="14">
        <f>COUNTA(OperationsData[Record_ID])</f>
        <v>200</v>
      </c>
      <c r="B4" s="14">
        <f>COUNTIF(OperationsData[Status],"Completed")</f>
        <v>109</v>
      </c>
      <c r="C4" s="14">
        <f>COUNTIF(OperationsData[Status],"Pending")</f>
        <v>38</v>
      </c>
      <c r="D4" s="14">
        <f>COUNTIF(OperationsData[Missing_Info],"Yes")</f>
        <v>55</v>
      </c>
      <c r="E4" s="15">
        <f>AVERAGE(OperationsData[Processing_Days])</f>
        <v>4.67</v>
      </c>
      <c r="F4" s="10"/>
    </row>
    <row r="8" spans="1:11" ht="15.6">
      <c r="D8" s="6"/>
    </row>
    <row r="39" spans="1:8" ht="28.8">
      <c r="A39" s="21"/>
      <c r="B39" s="31"/>
      <c r="C39" s="32" t="s">
        <v>262</v>
      </c>
      <c r="D39" s="33"/>
      <c r="E39" s="19"/>
      <c r="F39" s="19"/>
      <c r="G39" s="19"/>
      <c r="H39" s="19"/>
    </row>
    <row r="40" spans="1:8" ht="23.4">
      <c r="A40" s="20"/>
      <c r="B40" s="23" t="s">
        <v>263</v>
      </c>
      <c r="C40" s="24"/>
      <c r="D40" s="25"/>
      <c r="E40" s="20"/>
      <c r="F40" s="20"/>
      <c r="G40" s="20"/>
      <c r="H40" s="20"/>
    </row>
    <row r="41" spans="1:8" ht="23.4">
      <c r="A41" s="20"/>
      <c r="B41" s="26" t="s">
        <v>264</v>
      </c>
      <c r="C41" s="22"/>
      <c r="D41" s="27"/>
      <c r="E41" s="20"/>
      <c r="F41" s="20"/>
      <c r="G41" s="20"/>
      <c r="H41" s="20"/>
    </row>
    <row r="42" spans="1:8" ht="23.4">
      <c r="A42" s="20"/>
      <c r="B42" s="26" t="s">
        <v>265</v>
      </c>
      <c r="C42" s="22"/>
      <c r="D42" s="27"/>
      <c r="E42" s="20"/>
      <c r="F42" s="20"/>
      <c r="G42" s="20"/>
      <c r="H42" s="20"/>
    </row>
    <row r="43" spans="1:8" ht="23.4">
      <c r="A43" s="20"/>
      <c r="B43" s="26" t="s">
        <v>266</v>
      </c>
      <c r="C43" s="22"/>
      <c r="D43" s="27"/>
      <c r="E43" s="20"/>
      <c r="F43" s="20"/>
      <c r="G43" s="20"/>
      <c r="H43" s="20"/>
    </row>
    <row r="44" spans="1:8">
      <c r="B44" s="28"/>
      <c r="C44" s="29"/>
      <c r="D44" s="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Information</vt:lpstr>
      <vt:lpstr>Data</vt:lpstr>
      <vt:lpstr>Data Quality Status</vt:lpstr>
      <vt:lpstr>Pending Work by Priority</vt:lpstr>
      <vt:lpstr>Process Volume &amp; Processing Tim</vt:lpstr>
      <vt:lpstr>Operational Status Overview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Sammed Badde</dc:creator>
  <cp:lastModifiedBy>Sammed Badde</cp:lastModifiedBy>
  <dcterms:created xsi:type="dcterms:W3CDTF">2026-09-24T08:00:23Z</dcterms:created>
  <dcterms:modified xsi:type="dcterms:W3CDTF">2026-09-24T09:36:01Z</dcterms:modified>
</cp:coreProperties>
</file>